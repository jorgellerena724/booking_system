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orge Llerena\Documents\proyectos\lia\LIANA\ajuste de datos\"/>
    </mc:Choice>
  </mc:AlternateContent>
  <xr:revisionPtr revIDLastSave="0" documentId="13_ncr:1_{E18DCA09-F57F-4B36-984E-9071AA82F3A2}" xr6:coauthVersionLast="47" xr6:coauthVersionMax="47" xr10:uidLastSave="{00000000-0000-0000-0000-000000000000}"/>
  <bookViews>
    <workbookView xWindow="-120" yWindow="-120" windowWidth="20730" windowHeight="11160" tabRatio="911" xr2:uid="{4389B118-4C49-485A-97B5-A88C5C45547C}"/>
  </bookViews>
  <sheets>
    <sheet name="Enero 2025" sheetId="9" r:id="rId1"/>
    <sheet name="Febrero 2025" sheetId="10" r:id="rId2"/>
    <sheet name="MARZO 2025" sheetId="11" r:id="rId3"/>
    <sheet name="ABRIL 2025" sheetId="12" r:id="rId4"/>
    <sheet name="MAYO 2025" sheetId="1" r:id="rId5"/>
    <sheet name="JUNIO 2025" sheetId="2" r:id="rId6"/>
    <sheet name="JULIO 2025" sheetId="3" r:id="rId7"/>
    <sheet name="AGOSTO 2025" sheetId="4" r:id="rId8"/>
    <sheet name="SEPTIEMBRE 2025" sheetId="5" r:id="rId9"/>
    <sheet name="OCTUBRE 2025" sheetId="6" r:id="rId10"/>
    <sheet name="NOVIEMBRE 2025" sheetId="7" r:id="rId11"/>
    <sheet name="DICIEMBRE 2025" sheetId="8" r:id="rId12"/>
    <sheet name="Consolidado" sheetId="13" r:id="rId13"/>
    <sheet name="Cancelaciones " sheetId="14" r:id="rId14"/>
  </sheets>
  <definedNames>
    <definedName name="_xlnm._FilterDatabase" localSheetId="3" hidden="1">'ABRIL 2025'!$A$2:$M$17</definedName>
    <definedName name="_xlnm._FilterDatabase" localSheetId="7" hidden="1">'AGOSTO 2025'!$A$2:$M$38</definedName>
    <definedName name="_xlnm._FilterDatabase" localSheetId="11" hidden="1">'DICIEMBRE 2025'!$A$2:$N$11</definedName>
    <definedName name="_xlnm._FilterDatabase" localSheetId="6" hidden="1">'JULIO 2025'!$A$2:$M$35</definedName>
    <definedName name="_xlnm._FilterDatabase" localSheetId="10" hidden="1">'NOVIEMBRE 2025'!$A$2:$N$15</definedName>
    <definedName name="_xlnm._FilterDatabase" localSheetId="9" hidden="1">'OCTUBRE 2025'!$A$2:$N$50</definedName>
    <definedName name="_xlnm._FilterDatabase" localSheetId="8" hidden="1">'SEPTIEMBRE 2025'!$A$2:$M$22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5" i="7" l="1"/>
  <c r="I15" i="7"/>
  <c r="K5" i="7"/>
  <c r="K6" i="7"/>
  <c r="K7" i="7"/>
  <c r="K45" i="6"/>
  <c r="K50" i="6" l="1"/>
  <c r="K41" i="6"/>
  <c r="K42" i="6"/>
  <c r="K43" i="6"/>
  <c r="K44" i="6"/>
  <c r="K35" i="6" l="1"/>
  <c r="K31" i="6"/>
  <c r="K30" i="6"/>
  <c r="K7" i="6" l="1"/>
  <c r="K20" i="6" l="1"/>
  <c r="K19" i="6"/>
  <c r="K34" i="6"/>
  <c r="K33" i="6"/>
  <c r="J17" i="8"/>
  <c r="C14" i="13" s="1"/>
  <c r="I17" i="8"/>
  <c r="B14" i="13" s="1"/>
  <c r="K11" i="8"/>
  <c r="K10" i="8"/>
  <c r="K9" i="8"/>
  <c r="K8" i="8"/>
  <c r="K7" i="8"/>
  <c r="K6" i="8"/>
  <c r="K5" i="8"/>
  <c r="K4" i="8"/>
  <c r="K3" i="8"/>
  <c r="K18" i="6"/>
  <c r="K17" i="8" l="1"/>
  <c r="J19" i="8"/>
  <c r="K10" i="6"/>
  <c r="K9" i="6"/>
  <c r="K12" i="6" l="1"/>
  <c r="K8" i="6"/>
  <c r="K11" i="6"/>
  <c r="K22" i="6"/>
  <c r="K29" i="6"/>
  <c r="K28" i="6" l="1"/>
  <c r="K21" i="6"/>
  <c r="K23" i="6"/>
  <c r="K40" i="6"/>
  <c r="C13" i="13"/>
  <c r="K48" i="6"/>
  <c r="K26" i="6"/>
  <c r="K3" i="7"/>
  <c r="K4" i="7"/>
  <c r="K8" i="7"/>
  <c r="K9" i="7"/>
  <c r="K10" i="7"/>
  <c r="K11" i="7"/>
  <c r="K12" i="7"/>
  <c r="K13" i="7"/>
  <c r="K14" i="7"/>
  <c r="K20" i="5"/>
  <c r="J17" i="7" l="1"/>
  <c r="B13" i="13"/>
  <c r="K15" i="7"/>
  <c r="K17" i="6"/>
  <c r="K16" i="6"/>
  <c r="K25" i="6" l="1"/>
  <c r="K15" i="6"/>
  <c r="K6" i="6"/>
  <c r="K19" i="5"/>
  <c r="K18" i="5"/>
  <c r="K17" i="5" l="1"/>
  <c r="K49" i="6" l="1"/>
  <c r="K27" i="6"/>
  <c r="K39" i="6"/>
  <c r="K3" i="6"/>
  <c r="K4" i="6"/>
  <c r="K5" i="6"/>
  <c r="K16" i="5"/>
  <c r="K14" i="5"/>
  <c r="K9" i="5" l="1"/>
  <c r="J25" i="5"/>
  <c r="I25" i="5"/>
  <c r="K3" i="5"/>
  <c r="K11" i="5"/>
  <c r="K47" i="6" l="1"/>
  <c r="K24" i="6"/>
  <c r="K27" i="4"/>
  <c r="K31" i="4"/>
  <c r="E67" i="14"/>
  <c r="D67" i="14"/>
  <c r="A4" i="14"/>
  <c r="A5" i="14" s="1"/>
  <c r="A6" i="14" s="1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F64" i="14"/>
  <c r="F63" i="14"/>
  <c r="F62" i="14"/>
  <c r="C67" i="14"/>
  <c r="F56" i="14"/>
  <c r="F57" i="14"/>
  <c r="F58" i="14"/>
  <c r="F59" i="14"/>
  <c r="F60" i="14"/>
  <c r="F61" i="14"/>
  <c r="F55" i="14"/>
  <c r="J53" i="6"/>
  <c r="I53" i="6"/>
  <c r="E68" i="14" l="1"/>
  <c r="F67" i="14"/>
  <c r="K24" i="4"/>
  <c r="K28" i="4"/>
  <c r="K23" i="4"/>
  <c r="K13" i="5"/>
  <c r="K26" i="4"/>
  <c r="K33" i="4"/>
  <c r="K6" i="5"/>
  <c r="K19" i="4"/>
  <c r="K29" i="4" l="1"/>
  <c r="K30" i="4"/>
  <c r="K4" i="4"/>
  <c r="K7" i="4" l="1"/>
  <c r="J40" i="4" l="1"/>
  <c r="I40" i="4"/>
  <c r="K3" i="4"/>
  <c r="K17" i="4"/>
  <c r="K12" i="5"/>
  <c r="K6" i="4" l="1"/>
  <c r="C3" i="13"/>
  <c r="H16" i="11"/>
  <c r="C5" i="13" s="1"/>
  <c r="G16" i="11"/>
  <c r="B5" i="13" s="1"/>
  <c r="E5" i="13" s="1"/>
  <c r="I7" i="11"/>
  <c r="I8" i="11"/>
  <c r="I9" i="11"/>
  <c r="I10" i="11"/>
  <c r="I11" i="11"/>
  <c r="I12" i="11"/>
  <c r="I13" i="11"/>
  <c r="I14" i="11"/>
  <c r="I15" i="11"/>
  <c r="I6" i="11"/>
  <c r="H5" i="9"/>
  <c r="G5" i="9"/>
  <c r="B3" i="13" s="1"/>
  <c r="I3" i="9"/>
  <c r="I14" i="10"/>
  <c r="C4" i="13" s="1"/>
  <c r="H14" i="10"/>
  <c r="B4" i="13" s="1"/>
  <c r="E4" i="13" s="1"/>
  <c r="J4" i="10"/>
  <c r="J5" i="10"/>
  <c r="J6" i="10"/>
  <c r="J7" i="10"/>
  <c r="J8" i="10"/>
  <c r="J9" i="10"/>
  <c r="J10" i="10"/>
  <c r="J11" i="10"/>
  <c r="J12" i="10"/>
  <c r="J13" i="10"/>
  <c r="J3" i="10"/>
  <c r="K12" i="4"/>
  <c r="K25" i="4"/>
  <c r="K11" i="4"/>
  <c r="K10" i="4"/>
  <c r="K15" i="4"/>
  <c r="K22" i="3"/>
  <c r="E3" i="13" l="1"/>
  <c r="D3" i="13"/>
  <c r="D5" i="13"/>
  <c r="D4" i="13"/>
  <c r="K8" i="5"/>
  <c r="K46" i="6"/>
  <c r="K37" i="6"/>
  <c r="K16" i="3"/>
  <c r="K17" i="3"/>
  <c r="K21" i="3"/>
  <c r="K12" i="3" l="1"/>
  <c r="K5" i="4"/>
  <c r="I40" i="3"/>
  <c r="K26" i="3"/>
  <c r="J40" i="3" l="1"/>
  <c r="C12" i="13" l="1"/>
  <c r="B12" i="13"/>
  <c r="C11" i="13"/>
  <c r="B11" i="13"/>
  <c r="K13" i="6"/>
  <c r="K14" i="6"/>
  <c r="K32" i="6"/>
  <c r="K36" i="6"/>
  <c r="C10" i="13"/>
  <c r="B10" i="13"/>
  <c r="J27" i="5" l="1"/>
  <c r="K25" i="5"/>
  <c r="J55" i="6"/>
  <c r="K53" i="6"/>
  <c r="K35" i="3"/>
  <c r="K22" i="4"/>
  <c r="K20" i="3" l="1"/>
  <c r="K33" i="3"/>
  <c r="K38" i="6" l="1"/>
  <c r="K4" i="5" l="1"/>
  <c r="K14" i="4"/>
  <c r="E10" i="13" l="1"/>
  <c r="E11" i="13"/>
  <c r="E12" i="13"/>
  <c r="E13" i="13"/>
  <c r="E14" i="13"/>
  <c r="K6" i="3" l="1"/>
  <c r="K13" i="2"/>
  <c r="J22" i="2"/>
  <c r="K11" i="3"/>
  <c r="K21" i="4"/>
  <c r="K5" i="3"/>
  <c r="K8" i="3"/>
  <c r="K4" i="3"/>
  <c r="K3" i="3"/>
  <c r="K10" i="3"/>
  <c r="K7" i="3"/>
  <c r="K24" i="3"/>
  <c r="K15" i="3"/>
  <c r="K18" i="3"/>
  <c r="K19" i="3"/>
  <c r="K23" i="3"/>
  <c r="K25" i="3"/>
  <c r="K27" i="3"/>
  <c r="K28" i="3"/>
  <c r="K29" i="3"/>
  <c r="K30" i="3"/>
  <c r="K31" i="3"/>
  <c r="K40" i="4"/>
  <c r="J42" i="4" l="1"/>
  <c r="K8" i="2"/>
  <c r="K14" i="2"/>
  <c r="K13" i="4" l="1"/>
  <c r="K32" i="3"/>
  <c r="K16" i="4" l="1"/>
  <c r="K12" i="2" l="1"/>
  <c r="B9" i="13"/>
  <c r="K13" i="3"/>
  <c r="K9" i="3"/>
  <c r="C8" i="13"/>
  <c r="I22" i="2"/>
  <c r="B8" i="13" s="1"/>
  <c r="K9" i="2"/>
  <c r="K11" i="2"/>
  <c r="E8" i="13" l="1"/>
  <c r="K40" i="3"/>
  <c r="C9" i="13"/>
  <c r="J42" i="3"/>
  <c r="K10" i="2"/>
  <c r="K35" i="4"/>
  <c r="K34" i="4"/>
  <c r="K32" i="4"/>
  <c r="K20" i="4"/>
  <c r="K18" i="4"/>
  <c r="K9" i="4"/>
  <c r="K8" i="4"/>
  <c r="K4" i="2"/>
  <c r="D14" i="13"/>
  <c r="D13" i="13"/>
  <c r="D12" i="13"/>
  <c r="D11" i="13"/>
  <c r="D10" i="13"/>
  <c r="D8" i="13"/>
  <c r="K3" i="2"/>
  <c r="K34" i="3"/>
  <c r="K14" i="3"/>
  <c r="K9" i="1"/>
  <c r="K5" i="5"/>
  <c r="K6" i="2"/>
  <c r="K7" i="2"/>
  <c r="K5" i="2"/>
  <c r="K8" i="1"/>
  <c r="J12" i="1"/>
  <c r="C7" i="13" s="1"/>
  <c r="J19" i="12"/>
  <c r="C6" i="13" s="1"/>
  <c r="I12" i="1"/>
  <c r="B7" i="13" s="1"/>
  <c r="I19" i="12"/>
  <c r="B6" i="13" s="1"/>
  <c r="D6" i="13" s="1"/>
  <c r="K15" i="5"/>
  <c r="K10" i="5"/>
  <c r="K7" i="5"/>
  <c r="K17" i="12"/>
  <c r="D7" i="13" l="1"/>
  <c r="C15" i="13"/>
  <c r="B15" i="13"/>
  <c r="K19" i="12"/>
  <c r="J21" i="12"/>
  <c r="E6" i="13"/>
  <c r="E7" i="13"/>
  <c r="E9" i="13"/>
  <c r="E15" i="13" s="1"/>
  <c r="D9" i="13"/>
  <c r="K22" i="2"/>
  <c r="J24" i="2"/>
  <c r="J14" i="1"/>
  <c r="K12" i="1"/>
  <c r="K7" i="1"/>
  <c r="K6" i="1"/>
  <c r="K5" i="1"/>
  <c r="K4" i="1"/>
  <c r="K3" i="1"/>
  <c r="K3" i="12"/>
  <c r="D15" i="13" l="1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Liana Lorenzo</author>
  </authors>
  <commentList>
    <comment ref="I16" authorId="0" shapeId="0" xr:uid="{57124DF2-F796-463D-B564-5C20544F6B6E}">
      <text>
        <r>
          <rPr>
            <b/>
            <sz val="9"/>
            <color indexed="81"/>
            <rFont val="Tahoma"/>
            <family val="2"/>
          </rPr>
          <t>Liana Lorenzo:</t>
        </r>
        <r>
          <rPr>
            <sz val="9"/>
            <color indexed="81"/>
            <rFont val="Tahoma"/>
            <family val="2"/>
          </rPr>
          <t xml:space="preserve">
se cobro vista mar y facturaron clasica
</t>
        </r>
      </text>
    </comment>
    <comment ref="J32" authorId="0" shapeId="0" xr:uid="{D0DCC57F-64FB-4F4A-9ACA-6F3FDE1580C7}">
      <text>
        <r>
          <rPr>
            <b/>
            <sz val="9"/>
            <color indexed="81"/>
            <rFont val="Tahoma"/>
            <family val="2"/>
          </rPr>
          <t>Liana Lorenzo:</t>
        </r>
        <r>
          <rPr>
            <sz val="9"/>
            <color indexed="81"/>
            <rFont val="Tahoma"/>
            <family val="2"/>
          </rPr>
          <t xml:space="preserve">
costo de The level
468 usd
the level vista mar si exigen la vista 
507 usd
</t>
        </r>
      </text>
    </comment>
    <comment ref="M32" authorId="0" shapeId="0" xr:uid="{96745FBA-1D70-4F59-80C4-5B987678D6D3}">
      <text>
        <r>
          <rPr>
            <b/>
            <sz val="9"/>
            <color indexed="81"/>
            <rFont val="Tahoma"/>
            <family val="2"/>
          </rPr>
          <t>Liana Lorenzo:</t>
        </r>
        <r>
          <rPr>
            <sz val="9"/>
            <color indexed="81"/>
            <rFont val="Tahoma"/>
            <family val="2"/>
          </rPr>
          <t xml:space="preserve">
Pagaron 95 usd por person por noche
the level costo 120 -35%=78 usd 
</t>
        </r>
      </text>
    </comment>
  </commentList>
</comments>
</file>

<file path=xl/sharedStrings.xml><?xml version="1.0" encoding="utf-8"?>
<sst xmlns="http://schemas.openxmlformats.org/spreadsheetml/2006/main" count="1457" uniqueCount="549">
  <si>
    <t>HOTELES</t>
  </si>
  <si>
    <t>FECHA DE ESTANCIA</t>
  </si>
  <si>
    <t>CONFIRMACION</t>
  </si>
  <si>
    <t>TARIFAS QUE APLICAN</t>
  </si>
  <si>
    <t>CODIGO DEL GRUPO</t>
  </si>
  <si>
    <t>NOMBRE DEL GRUPO</t>
  </si>
  <si>
    <t>Grand Aston Varadero</t>
  </si>
  <si>
    <t>MYSTIQUE LA POPA</t>
  </si>
  <si>
    <t xml:space="preserve">MEMORIES MIRAMAR </t>
  </si>
  <si>
    <t xml:space="preserve">Grand Aston Varadero </t>
  </si>
  <si>
    <t xml:space="preserve">Grand Aston Habana </t>
  </si>
  <si>
    <t>28.03 - 01.04</t>
  </si>
  <si>
    <t>Memories Trinidad</t>
  </si>
  <si>
    <t>Memories miramar</t>
  </si>
  <si>
    <t>CXX</t>
  </si>
  <si>
    <t>Grand Aston Habana</t>
  </si>
  <si>
    <t>21.01 - 23.01</t>
  </si>
  <si>
    <t>Memories Miramar</t>
  </si>
  <si>
    <t>15.02 - 16.02</t>
  </si>
  <si>
    <t>cxx</t>
  </si>
  <si>
    <t>cxxx</t>
  </si>
  <si>
    <t>Aston Habana</t>
  </si>
  <si>
    <t>File de Ege - reserva online del sitio Paximum</t>
  </si>
  <si>
    <t>FIT - PAXIMUN</t>
  </si>
  <si>
    <t>06.01 - 09.01</t>
  </si>
  <si>
    <t>File mutlu - reserva de paximun sistema online</t>
  </si>
  <si>
    <t>RL:21113</t>
  </si>
  <si>
    <t>02.03 - 03.03</t>
  </si>
  <si>
    <t>13.02 - 15.02</t>
  </si>
  <si>
    <t>Paximun</t>
  </si>
  <si>
    <t>No:308495</t>
  </si>
  <si>
    <t>Selectum Varadero</t>
  </si>
  <si>
    <t>2 pax</t>
  </si>
  <si>
    <t>29.03 - 30.03</t>
  </si>
  <si>
    <t>09.02 - 16.02</t>
  </si>
  <si>
    <t xml:space="preserve">No:308910 </t>
  </si>
  <si>
    <t>RL:21967</t>
  </si>
  <si>
    <t>07.02 - 09.02</t>
  </si>
  <si>
    <t>ok</t>
  </si>
  <si>
    <t>OK</t>
  </si>
  <si>
    <t>Gran Aston Cayo Las Brujas</t>
  </si>
  <si>
    <t>16.02 - 17.02</t>
  </si>
  <si>
    <t xml:space="preserve">No:309011 </t>
  </si>
  <si>
    <t>09.02 - 11.02</t>
  </si>
  <si>
    <t>No:309052</t>
  </si>
  <si>
    <t>CXXX</t>
  </si>
  <si>
    <t>Rl-20320</t>
  </si>
  <si>
    <t>RL:11738</t>
  </si>
  <si>
    <t>14.02 - 16.02</t>
  </si>
  <si>
    <t>Sol Caribe Beach</t>
  </si>
  <si>
    <t>RL-17209</t>
  </si>
  <si>
    <t>Ok.145951</t>
  </si>
  <si>
    <t>4 pax</t>
  </si>
  <si>
    <t>Grand Memories Varadero</t>
  </si>
  <si>
    <t>Ib. Parque Central</t>
  </si>
  <si>
    <t>27.02 - 02.03</t>
  </si>
  <si>
    <t>RL/360970</t>
  </si>
  <si>
    <t>R/1672415</t>
  </si>
  <si>
    <t>03.03 - 05.03</t>
  </si>
  <si>
    <t xml:space="preserve">RL 5969, </t>
  </si>
  <si>
    <t>R/1672449</t>
  </si>
  <si>
    <t>1 pax</t>
  </si>
  <si>
    <t>Grand aston habana</t>
  </si>
  <si>
    <t>04.03 - 05.03</t>
  </si>
  <si>
    <t>RL:22815 - se solicitaron como grupo</t>
  </si>
  <si>
    <t>1 pax, cxxx</t>
  </si>
  <si>
    <t>RL 6009</t>
  </si>
  <si>
    <t>30.03 - 04.04</t>
  </si>
  <si>
    <t>RL/361682</t>
  </si>
  <si>
    <t>21.03 - 22.03</t>
  </si>
  <si>
    <t>RL 23188.</t>
  </si>
  <si>
    <t>PAX / HAB</t>
  </si>
  <si>
    <t>6 pax /  3 DBL</t>
  </si>
  <si>
    <t>2025  TUR 001</t>
  </si>
  <si>
    <t>RL 5901</t>
  </si>
  <si>
    <t>RL-21939</t>
  </si>
  <si>
    <t>TARIFAS QUE APLICAN /Observaciones</t>
  </si>
  <si>
    <t>Gran Aston Varadero</t>
  </si>
  <si>
    <t xml:space="preserve">2 pax </t>
  </si>
  <si>
    <t>RL 19667 (CXX)</t>
  </si>
  <si>
    <t>2 pax (CANCELADO 14.03.25)</t>
  </si>
  <si>
    <t>RL-22539</t>
  </si>
  <si>
    <t>REMARKS</t>
  </si>
  <si>
    <t xml:space="preserve">Mystique Trinidad La Popa </t>
  </si>
  <si>
    <t>RL-22659</t>
  </si>
  <si>
    <t>2 pax reserva idem a la 78951715</t>
  </si>
  <si>
    <t>idem a la 78951086</t>
  </si>
  <si>
    <t>Paximum</t>
  </si>
  <si>
    <t xml:space="preserve">Memories Miramar </t>
  </si>
  <si>
    <t>2 pax / 1 HAB</t>
  </si>
  <si>
    <t>No:310050 (CXX)</t>
  </si>
  <si>
    <t>No:310044 (CXX)</t>
  </si>
  <si>
    <t>No. 310385.</t>
  </si>
  <si>
    <t>RL 6144 (CXX)</t>
  </si>
  <si>
    <t xml:space="preserve">No. 310447. </t>
  </si>
  <si>
    <t>PROMO - SUPER EBB 2025 - 002</t>
  </si>
  <si>
    <t>RL:23811</t>
  </si>
  <si>
    <t>Gran Memories Varadero</t>
  </si>
  <si>
    <t>4 pax / 2 HAB</t>
  </si>
  <si>
    <t>Selectum Family Varadero</t>
  </si>
  <si>
    <t>Oferta Summer Promotion 2025</t>
  </si>
  <si>
    <t>problemas correo de B2B llego por correo de extranet</t>
  </si>
  <si>
    <t>No: 310538.</t>
  </si>
  <si>
    <t>RL-19226</t>
  </si>
  <si>
    <t>RL/ 362916 (CXX)</t>
  </si>
  <si>
    <t>2pax</t>
  </si>
  <si>
    <t>SUPER EBB 2025 - 002</t>
  </si>
  <si>
    <t>RL-23398</t>
  </si>
  <si>
    <t>RL 6225</t>
  </si>
  <si>
    <t>CODIGO PAXIMUM</t>
  </si>
  <si>
    <t>NOMBRE DEL CLIENTE</t>
  </si>
  <si>
    <t>Mystique Trinidad La Popa</t>
  </si>
  <si>
    <t>2025  TUR 003</t>
  </si>
  <si>
    <t>2 PAX</t>
  </si>
  <si>
    <t>B2B Special Promotion</t>
  </si>
  <si>
    <t>RL-19523</t>
  </si>
  <si>
    <t>VENTA PAXIMUM</t>
  </si>
  <si>
    <t>COSTO HOTEL</t>
  </si>
  <si>
    <t>PROFIT %</t>
  </si>
  <si>
    <t>DESDE</t>
  </si>
  <si>
    <t>HASTA</t>
  </si>
  <si>
    <t>1 PAX</t>
  </si>
  <si>
    <t>2 PAX / 1 HAB</t>
  </si>
  <si>
    <t>2025  TUR 003 TOUCH</t>
  </si>
  <si>
    <t>RL:24362</t>
  </si>
  <si>
    <t>RL:24364</t>
  </si>
  <si>
    <t>No. 311037</t>
  </si>
  <si>
    <t>RL 6292 (CXX)</t>
  </si>
  <si>
    <t>RL-18239 (CXX)</t>
  </si>
  <si>
    <t>2 pax / 1 hab</t>
  </si>
  <si>
    <t>3 pax / 1 hab</t>
  </si>
  <si>
    <t>Revenue</t>
  </si>
  <si>
    <t>RL-20480</t>
  </si>
  <si>
    <t>RL 6503</t>
  </si>
  <si>
    <t>RL 6502</t>
  </si>
  <si>
    <t>RL 6501</t>
  </si>
  <si>
    <t>Mrs MARIA JOSE DANGOND DAVID /Mr DANNY FERNANDO RAMIREZ BASTIDAS</t>
  </si>
  <si>
    <t>CLIENTS NAMES</t>
  </si>
  <si>
    <t>PAXIMUM CODE</t>
  </si>
  <si>
    <t>HOTELS</t>
  </si>
  <si>
    <t xml:space="preserve">From </t>
  </si>
  <si>
    <t>to</t>
  </si>
  <si>
    <t>Hotel confirmation</t>
  </si>
  <si>
    <t>PAX / ROOM</t>
  </si>
  <si>
    <t>Sale Price PAXIMUM</t>
  </si>
  <si>
    <t>TOUCH COST</t>
  </si>
  <si>
    <t>VALID RATES TO APPLY</t>
  </si>
  <si>
    <t xml:space="preserve">Roberto Estevez Torres </t>
  </si>
  <si>
    <t>Pavlov x 3</t>
  </si>
  <si>
    <t>MYSTIQUE HABANA</t>
  </si>
  <si>
    <t xml:space="preserve">JUAN DANIEL HERNANDEZ PEREZ /Mr FABIAN GALVEZ RAMOS </t>
  </si>
  <si>
    <t>4 pax / 2 DBL</t>
  </si>
  <si>
    <t xml:space="preserve">MAIBEL SANCHEZ / MANUEL SIMON </t>
  </si>
  <si>
    <t>MYSTIQUE TRINIDAD BY ROYALTON</t>
  </si>
  <si>
    <t>MEMORIES TRINIDAD DEL MAR</t>
  </si>
  <si>
    <t xml:space="preserve">RODRIGO ADRIAN /MAURICIO GABRIEL </t>
  </si>
  <si>
    <t>RL-20749</t>
  </si>
  <si>
    <t xml:space="preserve">2025 TUR 003 </t>
  </si>
  <si>
    <t>RL8787</t>
  </si>
  <si>
    <t>No. 29237</t>
  </si>
  <si>
    <t>2025ITA1438</t>
  </si>
  <si>
    <t>RL 6577</t>
  </si>
  <si>
    <t>Giuseppe ALLIEVO x 2</t>
  </si>
  <si>
    <t xml:space="preserve">Philip Gard </t>
  </si>
  <si>
    <t>1 pax / 1 HAB</t>
  </si>
  <si>
    <t>RL 6596</t>
  </si>
  <si>
    <t>MELIA LAS DUNAS</t>
  </si>
  <si>
    <t>2025ITA2164</t>
  </si>
  <si>
    <t xml:space="preserve">ANNA KROFT /VADIM KOZHEMIAKIN / ROMANI RUDOVSKI </t>
  </si>
  <si>
    <t>6 Pax / 3 DBL</t>
  </si>
  <si>
    <t>GRAND ASTON VARADERO</t>
  </si>
  <si>
    <t>Ruben Ramirez  x2</t>
  </si>
  <si>
    <t>Francisco Sanchez x2</t>
  </si>
  <si>
    <t>Juan Lorenzo x2</t>
  </si>
  <si>
    <t xml:space="preserve">Marco Colnago / Pietro Redaelli </t>
  </si>
  <si>
    <t>CONSOLIDADO 2025</t>
  </si>
  <si>
    <t>ABRIL</t>
  </si>
  <si>
    <t>MAYO</t>
  </si>
  <si>
    <t>JUNIO</t>
  </si>
  <si>
    <t>JULIO</t>
  </si>
  <si>
    <t>AGOSTO</t>
  </si>
  <si>
    <t>SEPTIEMBRE</t>
  </si>
  <si>
    <t>NOVIEMBRE</t>
  </si>
  <si>
    <t>DICIEMBRE</t>
  </si>
  <si>
    <t>MESES</t>
  </si>
  <si>
    <t>TOTAL USD</t>
  </si>
  <si>
    <t xml:space="preserve">Mr KIIAMOV MARAT </t>
  </si>
  <si>
    <t xml:space="preserve">MELIA INTERNATIONAL </t>
  </si>
  <si>
    <t>2025ITA2546</t>
  </si>
  <si>
    <t>1 pax / 1 sgl</t>
  </si>
  <si>
    <t>RL-20208 (CXX)</t>
  </si>
  <si>
    <t>RL-26825</t>
  </si>
  <si>
    <t xml:space="preserve">ISLAM BAKHMUDOV </t>
  </si>
  <si>
    <t>27/6/20025</t>
  </si>
  <si>
    <t>2 PAX / 1 DBL</t>
  </si>
  <si>
    <t>Melia Las Dunas</t>
  </si>
  <si>
    <t>Isabel Varela x 2</t>
  </si>
  <si>
    <t>357719 (CXX)</t>
  </si>
  <si>
    <t>rebooking</t>
  </si>
  <si>
    <t>ERNESTO BALERIO x 2</t>
  </si>
  <si>
    <t>markup 5%</t>
  </si>
  <si>
    <t>Melia Cayo Santa Maria</t>
  </si>
  <si>
    <t>ANDREA ETIHEL x2</t>
  </si>
  <si>
    <t>14.02 - 21.02</t>
  </si>
  <si>
    <t>PROFIT VALOR</t>
  </si>
  <si>
    <t xml:space="preserve">NATASHA REBECA NOWICKI/MARTIN GABRIEL CASCABELO </t>
  </si>
  <si>
    <t xml:space="preserve">TOMAS ISAAC NOWICKI /LUDMILA AYELEN </t>
  </si>
  <si>
    <t xml:space="preserve">vALENTINA pistarini /franco nahuel </t>
  </si>
  <si>
    <t>MELIA VARADERO</t>
  </si>
  <si>
    <t>No 358943 (CXX)</t>
  </si>
  <si>
    <t>Daniel Enrique Lozano x2</t>
  </si>
  <si>
    <t>MELIA INTERNACIONAL</t>
  </si>
  <si>
    <t>MEMORIES MIRAMAR</t>
  </si>
  <si>
    <t>VICTOR RICARDO X2 / ESTEBAN ALEJANDRO X2</t>
  </si>
  <si>
    <t>Markup 5%</t>
  </si>
  <si>
    <t>Pawel Duraczynski x2</t>
  </si>
  <si>
    <t>Melia Internacional</t>
  </si>
  <si>
    <t>Virgilio Olivera X3</t>
  </si>
  <si>
    <t>2+1 /  1 DBL</t>
  </si>
  <si>
    <t>Alisvel Olivera x2</t>
  </si>
  <si>
    <t>MARIA FERNANDA x2</t>
  </si>
  <si>
    <t>Paradisus Varadero</t>
  </si>
  <si>
    <t>2025ITA2923</t>
  </si>
  <si>
    <t>Melia Varadero</t>
  </si>
  <si>
    <t>Jackie Amador x 3</t>
  </si>
  <si>
    <t>3 pax / 1 TRP</t>
  </si>
  <si>
    <t>CARMEN AMADOR x3</t>
  </si>
  <si>
    <t>2+1 / 1 DBL</t>
  </si>
  <si>
    <t>Olga Lidia Cruz x3</t>
  </si>
  <si>
    <t>Adalis Suarez x2</t>
  </si>
  <si>
    <t>2 pax / 1 DBL</t>
  </si>
  <si>
    <t>Arlety Quintana x2</t>
  </si>
  <si>
    <t>FERNANDO GUERRA x2</t>
  </si>
  <si>
    <t>2 pax/ 1 DBL</t>
  </si>
  <si>
    <t xml:space="preserve">Olivia Ezaru </t>
  </si>
  <si>
    <t>199938 (CXX)</t>
  </si>
  <si>
    <t xml:space="preserve">IVONE VASQUEZ </t>
  </si>
  <si>
    <t>Wendy Besada x2</t>
  </si>
  <si>
    <t>Melia Peninsula Varadero</t>
  </si>
  <si>
    <t xml:space="preserve">DAVID NAHUEL CANAS </t>
  </si>
  <si>
    <t>2+2 / 1 HAB</t>
  </si>
  <si>
    <t>No .639005</t>
  </si>
  <si>
    <t>No .377720</t>
  </si>
  <si>
    <t>FELIX ARTURO BESANO x2</t>
  </si>
  <si>
    <t xml:space="preserve">RICARDO ANTONIO /ARIEL GOMEZ PALACIOS / SERGIO ALEJANDRO </t>
  </si>
  <si>
    <t>PATRICIA BEATRIZ x2</t>
  </si>
  <si>
    <t>Compraron Premium sin rebaja de oferta/ se confirma upgrade a The Level, se puede subir mas a Level sea view si exigen vista</t>
  </si>
  <si>
    <t>Mileidy Gonzalez /Roday Rosendo</t>
  </si>
  <si>
    <t>2025ITA2547</t>
  </si>
  <si>
    <t>Ana Kelland x2</t>
  </si>
  <si>
    <t>8 pax / 2 TRP+ 1 DBL</t>
  </si>
  <si>
    <t xml:space="preserve">JOSE CASTANEDA /LAURA CASTANEDA </t>
  </si>
  <si>
    <t xml:space="preserve">NESTOR LEONARDO / NICOLAS GOMEZ </t>
  </si>
  <si>
    <t xml:space="preserve">Daria Shipilova /Tatiana Shipilova </t>
  </si>
  <si>
    <t>5+1/1TRP+1 DBL</t>
  </si>
  <si>
    <t>Claudia Yenet Zaldivar x4</t>
  </si>
  <si>
    <t>2+2 / 1 DBL</t>
  </si>
  <si>
    <t>Roberto Morales X2</t>
  </si>
  <si>
    <t xml:space="preserve">GIANANNIBALE MIGLIOLI </t>
  </si>
  <si>
    <t xml:space="preserve">RAZVAN VASILE </t>
  </si>
  <si>
    <t xml:space="preserve">ERJONA DERVISHI / GRISELDA OSMANI </t>
  </si>
  <si>
    <t>5 / 1 TRP+1 DBL</t>
  </si>
  <si>
    <t>No 358467.</t>
  </si>
  <si>
    <t>numero 201012</t>
  </si>
  <si>
    <t>No.358562</t>
  </si>
  <si>
    <t>No.358582</t>
  </si>
  <si>
    <t>No.358581</t>
  </si>
  <si>
    <t xml:space="preserve">No 359211 </t>
  </si>
  <si>
    <t>No 359296 .</t>
  </si>
  <si>
    <t>número 359399</t>
  </si>
  <si>
    <t xml:space="preserve">Markup 5%/ New SPO  </t>
  </si>
  <si>
    <t>6+1 pax / 3 DBL</t>
  </si>
  <si>
    <t>4+1 pax / 2 DBL</t>
  </si>
  <si>
    <t>incidencia</t>
  </si>
  <si>
    <t xml:space="preserve">Melia Peninsula </t>
  </si>
  <si>
    <t>EKATERINA KVASHNINA x 2</t>
  </si>
  <si>
    <t>2015ITA2923</t>
  </si>
  <si>
    <t>RL 6389 (CXX)</t>
  </si>
  <si>
    <t>No CXX, cambiar LOC</t>
  </si>
  <si>
    <t>2026  TUR 003 TOUCH</t>
  </si>
  <si>
    <t>RL 6389</t>
  </si>
  <si>
    <t>No .639166 (CXX)</t>
  </si>
  <si>
    <t>No .639151(CXX)</t>
  </si>
  <si>
    <t>No.358577</t>
  </si>
  <si>
    <t>No.358576</t>
  </si>
  <si>
    <t>Bernabe Aguirre x 2</t>
  </si>
  <si>
    <t>Enrique Aubrich x 2</t>
  </si>
  <si>
    <t>3 PAX / 1 TRP</t>
  </si>
  <si>
    <t>Guillermo Aubrich x 3</t>
  </si>
  <si>
    <t>Alvaro Briz x 2</t>
  </si>
  <si>
    <t>Melia Internacional Varadero</t>
  </si>
  <si>
    <t xml:space="preserve">MARIA GABRIELA SILVA /PAUL NICOLAS PAREDES </t>
  </si>
  <si>
    <t xml:space="preserve">JULIO CESAR VILLAGRA </t>
  </si>
  <si>
    <t>Melia Cohiba</t>
  </si>
  <si>
    <t>Cristian Aguirre x2</t>
  </si>
  <si>
    <t>2 PAX /  1 DBL</t>
  </si>
  <si>
    <t>Enrique Aubrich X 2</t>
  </si>
  <si>
    <t xml:space="preserve">GERSON RAMIREZ /EDMUNDO SEMINARIO </t>
  </si>
  <si>
    <t>Melia Las Antillas</t>
  </si>
  <si>
    <t>MELINA DEL VALLE x2</t>
  </si>
  <si>
    <t>No 358698 (CXX)</t>
  </si>
  <si>
    <t>No.358574</t>
  </si>
  <si>
    <t>2 PAX/ 1 HAB</t>
  </si>
  <si>
    <t>No 378159</t>
  </si>
  <si>
    <t>Sol Palmeras</t>
  </si>
  <si>
    <t>HERNAN BECK x2</t>
  </si>
  <si>
    <t>MARIO MARTINEZ /RUBEN ANTON BELTRAN /KATIUSKA DIAZ GUIBERT</t>
  </si>
  <si>
    <t>200558 CXX</t>
  </si>
  <si>
    <t xml:space="preserve">Oystein Himle </t>
  </si>
  <si>
    <t>Grand Aston La Habana</t>
  </si>
  <si>
    <t xml:space="preserve">Heather Jennings x2 </t>
  </si>
  <si>
    <t>No 359295 (CXX)</t>
  </si>
  <si>
    <t xml:space="preserve"> 201210 (CXX)</t>
  </si>
  <si>
    <t>RL:26341</t>
  </si>
  <si>
    <t>x</t>
  </si>
  <si>
    <t xml:space="preserve">Francesc Garcia </t>
  </si>
  <si>
    <t>incidencia / cambio a 1 triple + 2 dobles</t>
  </si>
  <si>
    <t>JS Sea View incidencia / salida imprevista</t>
  </si>
  <si>
    <t>markup 5% / reserva original Melia Habana, desvío con upgrade a the level</t>
  </si>
  <si>
    <t xml:space="preserve">Dogukan GEDIK </t>
  </si>
  <si>
    <t xml:space="preserve">Ayse A Ozcan </t>
  </si>
  <si>
    <t>1 pax / 1 HAB (SV)</t>
  </si>
  <si>
    <t xml:space="preserve">CLAUDIA CARAJULCA </t>
  </si>
  <si>
    <t>Melia Cayo Santa María</t>
  </si>
  <si>
    <t>2 pax /  1 DBL</t>
  </si>
  <si>
    <t xml:space="preserve">ok </t>
  </si>
  <si>
    <t>Cristian Cruz X 2</t>
  </si>
  <si>
    <t>No:308053 (CXX)</t>
  </si>
  <si>
    <t>2025 TUR 004</t>
  </si>
  <si>
    <t>X</t>
  </si>
  <si>
    <t xml:space="preserve">Madeleine Ihle /Bjorn Seidler </t>
  </si>
  <si>
    <t>Paradisus Princesa del Mar</t>
  </si>
  <si>
    <t>17/7/20253</t>
  </si>
  <si>
    <t>No .258119</t>
  </si>
  <si>
    <t>cambio de loc y nombre , antes 78950731</t>
  </si>
  <si>
    <t xml:space="preserve">NANCY MENDEZ/ MARIO BARBOSA </t>
  </si>
  <si>
    <t xml:space="preserve">NANCY MENDEZ / LUZ GUARIN </t>
  </si>
  <si>
    <t>2025 TUR 001</t>
  </si>
  <si>
    <t>BK-639149 (CXX)</t>
  </si>
  <si>
    <t>VIOLETA PEREYRA x2</t>
  </si>
  <si>
    <t>5/8/20525</t>
  </si>
  <si>
    <t xml:space="preserve">Martha Tellez Roque </t>
  </si>
  <si>
    <t>RL-23159</t>
  </si>
  <si>
    <t>SPECIAL PROMOTION TOUCH TOURIZM 2025</t>
  </si>
  <si>
    <t>LEIDY CASTRO x2</t>
  </si>
  <si>
    <t>confirma Bungalow por SS</t>
  </si>
  <si>
    <t>No:308053.</t>
  </si>
  <si>
    <t>Markup 5% / reserva por otra agencia</t>
  </si>
  <si>
    <t>precio Ege</t>
  </si>
  <si>
    <t>ENERO</t>
  </si>
  <si>
    <t>FEBRERO</t>
  </si>
  <si>
    <t>MARZO</t>
  </si>
  <si>
    <t>Updated</t>
  </si>
  <si>
    <t>MARIA DELFINA x 2</t>
  </si>
  <si>
    <t xml:space="preserve">Lisa Utke /Thomas Denzel </t>
  </si>
  <si>
    <t>fecha enviado a Olguita</t>
  </si>
  <si>
    <t xml:space="preserve">Melissa Sdrowok  / Alejandro Averoff </t>
  </si>
  <si>
    <t>RL-23358</t>
  </si>
  <si>
    <t xml:space="preserve">Cordula Stadter </t>
  </si>
  <si>
    <t>Melia Trinidad Peninsula</t>
  </si>
  <si>
    <t xml:space="preserve">No. 24413 </t>
  </si>
  <si>
    <t xml:space="preserve">Melia las Americas </t>
  </si>
  <si>
    <t>numero 202435 (CXX)</t>
  </si>
  <si>
    <t xml:space="preserve">No .379117  </t>
  </si>
  <si>
    <t>desvío del Internacional</t>
  </si>
  <si>
    <t>excepcionalmente no se cobra 1 noche no show</t>
  </si>
  <si>
    <t>EURIDICE MARLENNE x4</t>
  </si>
  <si>
    <t>SANTIAGO ALEJANDRO x 2</t>
  </si>
  <si>
    <t xml:space="preserve">Isabella Bulla Fuentes </t>
  </si>
  <si>
    <t>1+1 / 1 HAB</t>
  </si>
  <si>
    <t>No 358472. CXX</t>
  </si>
  <si>
    <t>Nro.59311</t>
  </si>
  <si>
    <t xml:space="preserve"> 201628 CXX</t>
  </si>
  <si>
    <t>No .379452</t>
  </si>
  <si>
    <t>3 pax /1 TRP+ 2+1 / DBL</t>
  </si>
  <si>
    <t>JUDITH VANESSA TURIN x3 / CRISTAL LADY CHAVEZ 2+1</t>
  </si>
  <si>
    <t xml:space="preserve">DIEGO ALESSIO </t>
  </si>
  <si>
    <t>206929 (CXX)</t>
  </si>
  <si>
    <t>CARLOS TRUJILLO 2</t>
  </si>
  <si>
    <t>Nro.59851</t>
  </si>
  <si>
    <t>reserva original Melia Varadero. clientes aceptaron desvío a Americas / Se les ofreció hotel Paradisus que es mismo precio pero no aceptaron.</t>
  </si>
  <si>
    <t xml:space="preserve">CLAUDIA ARBAIZA </t>
  </si>
  <si>
    <t>INCIDENCIA</t>
  </si>
  <si>
    <t xml:space="preserve">YULIA SHESTAKOVA x 2 </t>
  </si>
  <si>
    <t>RL-30732</t>
  </si>
  <si>
    <t>RL-24013</t>
  </si>
  <si>
    <t>23.01.2025</t>
  </si>
  <si>
    <t>21.01.2023</t>
  </si>
  <si>
    <t>17.02.2025</t>
  </si>
  <si>
    <t>02.03.2025</t>
  </si>
  <si>
    <t>16.02.2025</t>
  </si>
  <si>
    <t>27.02.2025</t>
  </si>
  <si>
    <t>09.02.2025</t>
  </si>
  <si>
    <t>No .379832</t>
  </si>
  <si>
    <t xml:space="preserve">Sissi Lorena Flieger/Michel Aguilar </t>
  </si>
  <si>
    <t>RL-30824</t>
  </si>
  <si>
    <t>yanick desnoyers x3</t>
  </si>
  <si>
    <t>2+1  /1 DBL</t>
  </si>
  <si>
    <t xml:space="preserve">Melak Chebiri x 4 </t>
  </si>
  <si>
    <t xml:space="preserve">No. 25308 </t>
  </si>
  <si>
    <t>OCTUBRE</t>
  </si>
  <si>
    <t>meses</t>
  </si>
  <si>
    <t>total de reservas</t>
  </si>
  <si>
    <t>confirmadas</t>
  </si>
  <si>
    <t>canceladas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</si>
  <si>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</si>
  <si>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</si>
  <si>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</si>
  <si>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</si>
  <si>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</si>
  <si>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</si>
  <si>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</si>
  <si>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</si>
  <si>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</si>
  <si>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</si>
  <si>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</si>
  <si>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</si>
  <si>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03.03.2025</t>
  </si>
  <si>
    <t>29.03.2025</t>
  </si>
  <si>
    <t>30.03.2025</t>
  </si>
  <si>
    <t>Sol Varadero Beach</t>
  </si>
  <si>
    <t xml:space="preserve">Angela marcela linares </t>
  </si>
  <si>
    <t>1 pax /  1 SGL</t>
  </si>
  <si>
    <t>No. 57025</t>
  </si>
  <si>
    <t>Melia Habana</t>
  </si>
  <si>
    <t>Leonardo Eliasx3</t>
  </si>
  <si>
    <t xml:space="preserve">Yendry Rojas Pereda  / Dayma Estrada </t>
  </si>
  <si>
    <t xml:space="preserve">Victor Rolando / Mayda Matilde </t>
  </si>
  <si>
    <t xml:space="preserve">Mrs Maren Witt </t>
  </si>
  <si>
    <t>CARLOS ALBERTO LOMBARDIA / LUIS ALBERTO</t>
  </si>
  <si>
    <t>4 PAX / 2  DBL</t>
  </si>
  <si>
    <t>SOL Varadero Beach</t>
  </si>
  <si>
    <t xml:space="preserve">ANDREI KNIAZIK / MARIIA KNIAZIK </t>
  </si>
  <si>
    <t>No.57161</t>
  </si>
  <si>
    <t>RL-31266</t>
  </si>
  <si>
    <t>No.57324</t>
  </si>
  <si>
    <t>PABLO SEBASTIAN CUELLO x3</t>
  </si>
  <si>
    <t>numero 211205</t>
  </si>
  <si>
    <t>No.380537</t>
  </si>
  <si>
    <t>Olga Lidia Díaz x 2</t>
  </si>
  <si>
    <t>Ledismaida / Luis Enrique  / Daniel Alejandro / Rachel</t>
  </si>
  <si>
    <t xml:space="preserve">No. 26495 </t>
  </si>
  <si>
    <t>Michel Angel Castillo x 2</t>
  </si>
  <si>
    <t>2 pax/ 1 Dbl</t>
  </si>
  <si>
    <t>RL-25067 (CXX)</t>
  </si>
  <si>
    <t>207292 (CXX)</t>
  </si>
  <si>
    <t xml:space="preserve">Angel Casanova </t>
  </si>
  <si>
    <t>1 pax/  1 SGL</t>
  </si>
  <si>
    <t>2025ITA3189</t>
  </si>
  <si>
    <t>No.380793</t>
  </si>
  <si>
    <t>Melia las Antillas</t>
  </si>
  <si>
    <t># 236912</t>
  </si>
  <si>
    <t>SERGIO ARELLANO x 4</t>
  </si>
  <si>
    <t>numero 213180</t>
  </si>
  <si>
    <t>MARIA DEL CARMEN GIACUSA x 2</t>
  </si>
  <si>
    <t>No .645014</t>
  </si>
  <si>
    <t>Nacional de Cuba</t>
  </si>
  <si>
    <t>JOAQUIN JOSE CHACON GUADALIX x2</t>
  </si>
  <si>
    <t xml:space="preserve">POLINA MASLOVA </t>
  </si>
  <si>
    <t>NO show, cobrar a Paximum 1 noche de penalidad (64 usd por 4 pax) / Hotel cancela sin penalidad a nosotros</t>
  </si>
  <si>
    <t>MELIA HABANA</t>
  </si>
  <si>
    <t>2 PAX / 1 dbl</t>
  </si>
  <si>
    <t>1 pax/  1 SGL ov</t>
  </si>
  <si>
    <t>Lazaro Luis Gonzalez x 2</t>
  </si>
  <si>
    <t>SPO-HNC26-TOUCH</t>
  </si>
  <si>
    <t>Paximum vendió por error suyo MAP a precio e CP, se reservó CP y se informó no podemos asumir la cena o pedir que el hotel lo haga</t>
  </si>
  <si>
    <t>No. 380986 (CXX)</t>
  </si>
  <si>
    <t xml:space="preserve">Peter Kohler </t>
  </si>
  <si>
    <t>Lorenzo Conte x 2</t>
  </si>
  <si>
    <t>Christian B Eichwald x 2</t>
  </si>
  <si>
    <t>No .379463 CXX</t>
  </si>
  <si>
    <t>12 pax /  4TRP</t>
  </si>
  <si>
    <t>Yanela Hernandez X 2</t>
  </si>
  <si>
    <t>Susana Infiesta X 2</t>
  </si>
  <si>
    <t>RL-32961</t>
  </si>
  <si>
    <t xml:space="preserve">MAKSIM VAZHNIK </t>
  </si>
  <si>
    <t>1 pax / 1 SGL</t>
  </si>
  <si>
    <t>Miika Ojatalo X 2</t>
  </si>
  <si>
    <t>Jimi B Saarenpaa X 2</t>
  </si>
  <si>
    <t xml:space="preserve">nro 637398 </t>
  </si>
  <si>
    <t>nro 637397</t>
  </si>
  <si>
    <t>1 PAX / 1 SGL</t>
  </si>
  <si>
    <t xml:space="preserve">IVAN SAENKO x 2 </t>
  </si>
  <si>
    <t>No.58770</t>
  </si>
  <si>
    <t>nro 637399</t>
  </si>
  <si>
    <t>No .645451</t>
  </si>
  <si>
    <t>nro 637406</t>
  </si>
  <si>
    <t>Sergio y hotel confirmaron 60 usd pppn en sencilla ocean view</t>
  </si>
  <si>
    <t>MITCHELL GAVIN TONY KENNY x 2</t>
  </si>
  <si>
    <t>Gerald Garceau x 2</t>
  </si>
  <si>
    <t>Reserva original Sol Varadero Beach</t>
  </si>
  <si>
    <t>Gaetane Garceau x1</t>
  </si>
  <si>
    <t>Pierre Proulx x 1</t>
  </si>
  <si>
    <t>Gilma O Farrill x2</t>
  </si>
  <si>
    <t>Dariel Gonzalez Navarro x 2</t>
  </si>
  <si>
    <t xml:space="preserve">ALVARO ALVARADO </t>
  </si>
  <si>
    <t xml:space="preserve">Huu Doanh Le </t>
  </si>
  <si>
    <t>2 PAX / 1 DBL sv</t>
  </si>
  <si>
    <t>Victor Martinez x 2</t>
  </si>
  <si>
    <t>Jose Luis B Castillo x 2</t>
  </si>
  <si>
    <t xml:space="preserve">2 PAX / 1 DBL </t>
  </si>
  <si>
    <t xml:space="preserve">Adrian Henriquez </t>
  </si>
  <si>
    <t>EXT DVA VER 25</t>
  </si>
  <si>
    <t>Thi Dao Huynh X 2</t>
  </si>
  <si>
    <t>Quang Minh Nguyen X 2</t>
  </si>
  <si>
    <t>numero 214865</t>
  </si>
  <si>
    <t>RL-25825</t>
  </si>
  <si>
    <t>RL-25745</t>
  </si>
  <si>
    <t>1 pax /  1 SGL SV</t>
  </si>
  <si>
    <t>2 PAX / 1 DBL SV</t>
  </si>
  <si>
    <t>No. 381251</t>
  </si>
  <si>
    <t>No.710795.(CXX)</t>
  </si>
  <si>
    <t>No. 481513 (CXX)</t>
  </si>
  <si>
    <t>No.710338. (CXX)</t>
  </si>
  <si>
    <t>No/ 481751</t>
  </si>
  <si>
    <t>Olaf Koschnitzke x2</t>
  </si>
  <si>
    <t>Sabine Suchland x2</t>
  </si>
  <si>
    <t>nro 637778</t>
  </si>
  <si>
    <t>Farah Maria Leal Machado  x 2</t>
  </si>
  <si>
    <t>Maria Fernanda Torres x 2</t>
  </si>
  <si>
    <t>ALEKSANDR THOMSON x 2</t>
  </si>
  <si>
    <t>Melia Las Américas</t>
  </si>
  <si>
    <t>No .645964</t>
  </si>
  <si>
    <t>Nro.63643</t>
  </si>
  <si>
    <t>RUBI2526</t>
  </si>
  <si>
    <t>JOSE LUIS SALMERON x 2</t>
  </si>
  <si>
    <t>ISMAIL MOHAMED x 2</t>
  </si>
  <si>
    <t>No. 27897 .</t>
  </si>
  <si>
    <t>No. 34914</t>
  </si>
  <si>
    <t>No. 34913</t>
  </si>
  <si>
    <t>Fabio De matte x2</t>
  </si>
  <si>
    <t xml:space="preserve">Stefano B Fabbri x 2 </t>
  </si>
  <si>
    <t>ADRIANA ELSA DIAZ x 3</t>
  </si>
  <si>
    <t>Tryp Habana Libre</t>
  </si>
  <si>
    <t>3 pax / 1 TRP pv</t>
  </si>
  <si>
    <t>número 165548</t>
  </si>
  <si>
    <t>MANUEL HERNANDEZ x 2</t>
  </si>
  <si>
    <t>Melia Cayo Coco</t>
  </si>
  <si>
    <t>INES RODRIGUEZ BENITO x 2</t>
  </si>
  <si>
    <t>ANA MARIA GONZALEZ x 2</t>
  </si>
  <si>
    <t>No.  381557</t>
  </si>
  <si>
    <t>No R-251016-664170</t>
  </si>
  <si>
    <t>error en precio x Paximum se le comunicó , confirmaron ajuste de precio al correcto</t>
  </si>
  <si>
    <t>RL:28772 (CXX)</t>
  </si>
  <si>
    <t># 236976 (CXX)</t>
  </si>
  <si>
    <t>No. 201241 (CXX)</t>
  </si>
  <si>
    <t xml:space="preserve">CAROLINA AMERICANO </t>
  </si>
  <si>
    <t>NATIONALITY</t>
  </si>
  <si>
    <t>Nro.64270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</si>
</sst>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-&quot;$&quot;#,##0.00"/>
    <numFmt numFmtId="165" formatCode="&quot;$&quot;#,##0.00"/>
  </numFmts>
  <fonts count="3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name val="Calibri"/>
      <family val="2"/>
    </font>
    <font>
      <sz val="12"/>
      <color rgb="FFFF0000"/>
      <name val="Calibri"/>
      <family val="2"/>
    </font>
    <font>
      <sz val="11"/>
      <color rgb="FFC00000"/>
      <name val="Aptos Narrow"/>
      <family val="2"/>
      <scheme val="minor"/>
    </font>
    <font>
      <sz val="11"/>
      <color rgb="FFC00000"/>
      <name val="Arial"/>
      <family val="2"/>
    </font>
    <font>
      <sz val="11"/>
      <name val="Aptos Narrow"/>
      <family val="2"/>
      <scheme val="minor"/>
    </font>
    <font>
      <sz val="11"/>
      <name val="Arial"/>
      <family val="2"/>
    </font>
    <font>
      <b/>
      <sz val="12"/>
      <name val="Calibri"/>
      <family val="2"/>
    </font>
    <font>
      <sz val="10"/>
      <name val="Verdana"/>
      <family val="2"/>
    </font>
    <font>
      <sz val="8"/>
      <color theme="1"/>
      <name val="Aptos"/>
      <family val="2"/>
    </font>
    <font>
      <sz val="8"/>
      <color theme="1"/>
      <name val="Calibri"/>
      <family val="2"/>
    </font>
    <font>
      <sz val="8"/>
      <name val="Calibri"/>
      <family val="2"/>
    </font>
    <font>
      <sz val="12"/>
      <color rgb="FF000000"/>
      <name val="Calibri"/>
      <family val="2"/>
    </font>
    <font>
      <sz val="11"/>
      <color rgb="FFFF0000"/>
      <name val="Aptos Narrow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ED0000"/>
      <name val="Calibri"/>
      <family val="2"/>
    </font>
    <font>
      <sz val="12"/>
      <color rgb="FFEE0000"/>
      <name val="Calibri"/>
      <family val="2"/>
    </font>
    <font>
      <sz val="10"/>
      <color theme="1"/>
      <name val="Times New Roman"/>
      <family val="1"/>
    </font>
    <font>
      <b/>
      <sz val="12"/>
      <color rgb="FF000000"/>
      <name val="Calibri"/>
      <family val="2"/>
    </font>
    <font>
      <sz val="12"/>
      <color rgb="FFE40000"/>
      <name val="Calibri"/>
      <family val="2"/>
    </font>
    <font>
      <sz val="11"/>
      <color rgb="FF1F497D"/>
      <name val="Calibri"/>
      <family val="2"/>
    </font>
    <font>
      <b/>
      <sz val="12"/>
      <color rgb="FFFF0000"/>
      <name val="Calibri"/>
      <family val="2"/>
    </font>
    <font>
      <sz val="12"/>
      <color rgb="FF17365D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3" xfId="0" applyBorder="1"/>
    <xf numFmtId="0" fontId="0" fillId="0" borderId="8" xfId="0" applyBorder="1"/>
    <xf numFmtId="0" fontId="0" fillId="0" borderId="11" xfId="0" applyBorder="1"/>
    <xf numFmtId="0" fontId="0" fillId="0" borderId="4" xfId="0" applyBorder="1"/>
    <xf numFmtId="0" fontId="0" fillId="0" borderId="10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9" fillId="0" borderId="1" xfId="0" applyFont="1" applyBorder="1" applyAlignment="1">
      <alignment vertical="center"/>
    </xf>
    <xf numFmtId="0" fontId="11" fillId="0" borderId="1" xfId="0" applyFont="1" applyBorder="1"/>
    <xf numFmtId="0" fontId="6" fillId="0" borderId="0" xfId="0" applyFont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14" fontId="7" fillId="0" borderId="1" xfId="0" applyNumberFormat="1" applyFont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14" fontId="4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14" fontId="6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1" xfId="0" applyFont="1" applyBorder="1"/>
    <xf numFmtId="0" fontId="6" fillId="3" borderId="1" xfId="0" applyFont="1" applyFill="1" applyBorder="1" applyAlignment="1">
      <alignment horizontal="left" vertical="center"/>
    </xf>
    <xf numFmtId="0" fontId="6" fillId="3" borderId="0" xfId="0" applyFont="1" applyFill="1" applyAlignment="1">
      <alignment horizontal="left"/>
    </xf>
    <xf numFmtId="0" fontId="4" fillId="0" borderId="1" xfId="0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14" fontId="7" fillId="3" borderId="1" xfId="0" applyNumberFormat="1" applyFont="1" applyFill="1" applyBorder="1" applyAlignment="1">
      <alignment horizontal="left" vertical="center"/>
    </xf>
    <xf numFmtId="0" fontId="7" fillId="3" borderId="0" xfId="0" applyFont="1" applyFill="1" applyAlignment="1">
      <alignment horizontal="left"/>
    </xf>
    <xf numFmtId="0" fontId="6" fillId="0" borderId="1" xfId="0" applyFont="1" applyBorder="1" applyAlignment="1">
      <alignment vertical="center"/>
    </xf>
    <xf numFmtId="0" fontId="12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14" fontId="6" fillId="0" borderId="1" xfId="0" applyNumberFormat="1" applyFont="1" applyBorder="1" applyAlignment="1">
      <alignment horizontal="left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4" fillId="3" borderId="1" xfId="0" applyFont="1" applyFill="1" applyBorder="1" applyAlignment="1">
      <alignment horizontal="left"/>
    </xf>
    <xf numFmtId="14" fontId="6" fillId="3" borderId="1" xfId="0" applyNumberFormat="1" applyFont="1" applyFill="1" applyBorder="1" applyAlignment="1">
      <alignment horizontal="left"/>
    </xf>
    <xf numFmtId="10" fontId="6" fillId="0" borderId="1" xfId="0" applyNumberFormat="1" applyFont="1" applyBorder="1" applyAlignment="1">
      <alignment horizontal="left" vertical="center"/>
    </xf>
    <xf numFmtId="165" fontId="6" fillId="0" borderId="1" xfId="0" applyNumberFormat="1" applyFont="1" applyBorder="1" applyAlignment="1">
      <alignment horizontal="left" vertical="center"/>
    </xf>
    <xf numFmtId="165" fontId="6" fillId="3" borderId="1" xfId="0" applyNumberFormat="1" applyFont="1" applyFill="1" applyBorder="1" applyAlignment="1">
      <alignment horizontal="left"/>
    </xf>
    <xf numFmtId="0" fontId="6" fillId="3" borderId="0" xfId="0" applyFont="1" applyFill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left"/>
    </xf>
    <xf numFmtId="0" fontId="13" fillId="0" borderId="0" xfId="0" applyFont="1" applyAlignment="1">
      <alignment vertical="center"/>
    </xf>
    <xf numFmtId="0" fontId="7" fillId="0" borderId="14" xfId="0" applyFont="1" applyBorder="1" applyAlignment="1">
      <alignment horizontal="left"/>
    </xf>
    <xf numFmtId="165" fontId="7" fillId="0" borderId="1" xfId="0" applyNumberFormat="1" applyFont="1" applyBorder="1" applyAlignment="1">
      <alignment horizontal="left" vertical="center"/>
    </xf>
    <xf numFmtId="10" fontId="7" fillId="0" borderId="1" xfId="0" applyNumberFormat="1" applyFont="1" applyBorder="1" applyAlignment="1">
      <alignment horizontal="left" vertical="center"/>
    </xf>
    <xf numFmtId="0" fontId="4" fillId="0" borderId="1" xfId="0" applyFont="1" applyBorder="1"/>
    <xf numFmtId="165" fontId="7" fillId="4" borderId="1" xfId="0" applyNumberFormat="1" applyFont="1" applyFill="1" applyBorder="1" applyAlignment="1">
      <alignment horizontal="left" vertical="center"/>
    </xf>
    <xf numFmtId="165" fontId="7" fillId="4" borderId="1" xfId="0" applyNumberFormat="1" applyFont="1" applyFill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15" fillId="0" borderId="1" xfId="0" applyFont="1" applyBorder="1"/>
    <xf numFmtId="0" fontId="14" fillId="0" borderId="1" xfId="0" applyFont="1" applyBorder="1"/>
    <xf numFmtId="0" fontId="16" fillId="0" borderId="1" xfId="0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5" fillId="0" borderId="0" xfId="0" applyFont="1"/>
    <xf numFmtId="0" fontId="5" fillId="0" borderId="1" xfId="0" applyFont="1" applyBorder="1"/>
    <xf numFmtId="165" fontId="6" fillId="0" borderId="1" xfId="0" applyNumberFormat="1" applyFont="1" applyBorder="1" applyAlignment="1">
      <alignment horizontal="center" vertical="center"/>
    </xf>
    <xf numFmtId="165" fontId="12" fillId="0" borderId="1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left"/>
    </xf>
    <xf numFmtId="14" fontId="4" fillId="0" borderId="3" xfId="0" applyNumberFormat="1" applyFont="1" applyBorder="1" applyAlignment="1">
      <alignment horizontal="left"/>
    </xf>
    <xf numFmtId="165" fontId="6" fillId="0" borderId="3" xfId="0" applyNumberFormat="1" applyFont="1" applyBorder="1" applyAlignment="1">
      <alignment horizontal="left" vertical="center"/>
    </xf>
    <xf numFmtId="10" fontId="6" fillId="0" borderId="3" xfId="0" applyNumberFormat="1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17" fillId="0" borderId="1" xfId="0" applyFont="1" applyBorder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18" fillId="0" borderId="10" xfId="0" applyFont="1" applyBorder="1" applyAlignment="1">
      <alignment horizontal="left"/>
    </xf>
    <xf numFmtId="0" fontId="18" fillId="0" borderId="11" xfId="0" applyFont="1" applyBorder="1"/>
    <xf numFmtId="0" fontId="18" fillId="0" borderId="13" xfId="0" applyFont="1" applyBorder="1"/>
    <xf numFmtId="0" fontId="18" fillId="0" borderId="0" xfId="0" applyFont="1"/>
    <xf numFmtId="0" fontId="0" fillId="0" borderId="11" xfId="0" applyBorder="1" applyAlignment="1">
      <alignment horizontal="left"/>
    </xf>
    <xf numFmtId="0" fontId="0" fillId="0" borderId="10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8" fillId="0" borderId="6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8" fillId="0" borderId="4" xfId="0" applyFont="1" applyBorder="1"/>
    <xf numFmtId="0" fontId="18" fillId="0" borderId="9" xfId="0" applyFont="1" applyBorder="1"/>
    <xf numFmtId="0" fontId="19" fillId="0" borderId="4" xfId="0" applyFont="1" applyBorder="1" applyAlignment="1">
      <alignment horizontal="left"/>
    </xf>
    <xf numFmtId="0" fontId="1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/>
    </xf>
    <xf numFmtId="0" fontId="18" fillId="0" borderId="1" xfId="0" applyFont="1" applyBorder="1"/>
    <xf numFmtId="0" fontId="4" fillId="0" borderId="15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165" fontId="5" fillId="5" borderId="16" xfId="0" applyNumberFormat="1" applyFont="1" applyFill="1" applyBorder="1" applyAlignment="1">
      <alignment horizontal="left"/>
    </xf>
    <xf numFmtId="165" fontId="5" fillId="5" borderId="5" xfId="0" applyNumberFormat="1" applyFont="1" applyFill="1" applyBorder="1" applyAlignment="1">
      <alignment horizontal="left"/>
    </xf>
    <xf numFmtId="10" fontId="12" fillId="5" borderId="17" xfId="0" applyNumberFormat="1" applyFont="1" applyFill="1" applyBorder="1" applyAlignment="1">
      <alignment horizontal="left" vertical="center"/>
    </xf>
    <xf numFmtId="0" fontId="5" fillId="5" borderId="18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0" fontId="5" fillId="5" borderId="19" xfId="0" applyFont="1" applyFill="1" applyBorder="1" applyAlignment="1">
      <alignment horizontal="left"/>
    </xf>
    <xf numFmtId="0" fontId="5" fillId="5" borderId="20" xfId="0" applyFont="1" applyFill="1" applyBorder="1" applyAlignment="1">
      <alignment horizontal="left"/>
    </xf>
    <xf numFmtId="165" fontId="5" fillId="5" borderId="21" xfId="0" applyNumberFormat="1" applyFont="1" applyFill="1" applyBorder="1" applyAlignment="1">
      <alignment horizontal="left"/>
    </xf>
    <xf numFmtId="0" fontId="5" fillId="5" borderId="22" xfId="0" applyFont="1" applyFill="1" applyBorder="1" applyAlignment="1">
      <alignment horizontal="left"/>
    </xf>
    <xf numFmtId="165" fontId="12" fillId="5" borderId="1" xfId="0" applyNumberFormat="1" applyFont="1" applyFill="1" applyBorder="1" applyAlignment="1">
      <alignment horizontal="left" vertical="center"/>
    </xf>
    <xf numFmtId="0" fontId="6" fillId="0" borderId="14" xfId="0" applyFont="1" applyBorder="1" applyAlignment="1">
      <alignment horizontal="left"/>
    </xf>
    <xf numFmtId="165" fontId="6" fillId="0" borderId="2" xfId="0" applyNumberFormat="1" applyFont="1" applyBorder="1" applyAlignment="1">
      <alignment horizontal="left" vertical="center"/>
    </xf>
    <xf numFmtId="0" fontId="6" fillId="0" borderId="3" xfId="0" applyFont="1" applyBorder="1" applyAlignment="1">
      <alignment horizontal="left"/>
    </xf>
    <xf numFmtId="165" fontId="12" fillId="5" borderId="16" xfId="0" applyNumberFormat="1" applyFont="1" applyFill="1" applyBorder="1" applyAlignment="1">
      <alignment horizontal="left" vertical="center"/>
    </xf>
    <xf numFmtId="165" fontId="12" fillId="5" borderId="5" xfId="0" applyNumberFormat="1" applyFont="1" applyFill="1" applyBorder="1" applyAlignment="1">
      <alignment horizontal="left" vertical="center"/>
    </xf>
    <xf numFmtId="165" fontId="12" fillId="5" borderId="18" xfId="0" applyNumberFormat="1" applyFont="1" applyFill="1" applyBorder="1" applyAlignment="1">
      <alignment horizontal="left" vertical="center"/>
    </xf>
    <xf numFmtId="0" fontId="12" fillId="5" borderId="19" xfId="0" applyFont="1" applyFill="1" applyBorder="1" applyAlignment="1">
      <alignment horizontal="left"/>
    </xf>
    <xf numFmtId="0" fontId="12" fillId="5" borderId="22" xfId="0" applyFont="1" applyFill="1" applyBorder="1" applyAlignment="1">
      <alignment horizontal="left"/>
    </xf>
    <xf numFmtId="0" fontId="4" fillId="0" borderId="2" xfId="0" applyFont="1" applyBorder="1" applyAlignment="1">
      <alignment horizontal="left"/>
    </xf>
    <xf numFmtId="10" fontId="6" fillId="0" borderId="2" xfId="0" applyNumberFormat="1" applyFont="1" applyBorder="1" applyAlignment="1">
      <alignment horizontal="left" vertical="center"/>
    </xf>
    <xf numFmtId="10" fontId="12" fillId="5" borderId="19" xfId="0" applyNumberFormat="1" applyFont="1" applyFill="1" applyBorder="1" applyAlignment="1">
      <alignment horizontal="left" vertical="center"/>
    </xf>
    <xf numFmtId="10" fontId="12" fillId="5" borderId="22" xfId="0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wrapText="1"/>
    </xf>
    <xf numFmtId="0" fontId="6" fillId="2" borderId="1" xfId="0" applyFont="1" applyFill="1" applyBorder="1" applyAlignment="1">
      <alignment horizontal="left"/>
    </xf>
    <xf numFmtId="0" fontId="5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7" fillId="0" borderId="1" xfId="0" applyFont="1" applyBorder="1"/>
    <xf numFmtId="10" fontId="23" fillId="0" borderId="1" xfId="0" applyNumberFormat="1" applyFont="1" applyBorder="1" applyAlignment="1">
      <alignment horizontal="left" vertical="center"/>
    </xf>
    <xf numFmtId="14" fontId="7" fillId="0" borderId="1" xfId="0" applyNumberFormat="1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0" fontId="12" fillId="5" borderId="1" xfId="0" applyNumberFormat="1" applyFont="1" applyFill="1" applyBorder="1" applyAlignment="1">
      <alignment horizontal="left" vertical="center"/>
    </xf>
    <xf numFmtId="165" fontId="12" fillId="5" borderId="1" xfId="0" applyNumberFormat="1" applyFont="1" applyFill="1" applyBorder="1" applyAlignment="1">
      <alignment horizontal="left"/>
    </xf>
    <xf numFmtId="0" fontId="12" fillId="5" borderId="1" xfId="0" applyFont="1" applyFill="1" applyBorder="1" applyAlignment="1">
      <alignment horizontal="left"/>
    </xf>
    <xf numFmtId="0" fontId="7" fillId="0" borderId="1" xfId="0" applyFont="1" applyBorder="1" applyAlignment="1">
      <alignment horizontal="left" wrapText="1"/>
    </xf>
    <xf numFmtId="0" fontId="24" fillId="0" borderId="1" xfId="0" applyFont="1" applyBorder="1" applyAlignment="1">
      <alignment horizontal="left"/>
    </xf>
    <xf numFmtId="14" fontId="24" fillId="0" borderId="1" xfId="0" applyNumberFormat="1" applyFont="1" applyBorder="1" applyAlignment="1">
      <alignment horizontal="left"/>
    </xf>
    <xf numFmtId="165" fontId="24" fillId="0" borderId="1" xfId="0" applyNumberFormat="1" applyFont="1" applyBorder="1" applyAlignment="1">
      <alignment horizontal="left" vertical="center"/>
    </xf>
    <xf numFmtId="10" fontId="24" fillId="0" borderId="1" xfId="0" applyNumberFormat="1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24" fillId="0" borderId="0" xfId="0" applyFont="1" applyAlignment="1">
      <alignment horizontal="left"/>
    </xf>
    <xf numFmtId="0" fontId="24" fillId="0" borderId="23" xfId="0" applyFont="1" applyBorder="1" applyAlignment="1">
      <alignment horizontal="left"/>
    </xf>
    <xf numFmtId="0" fontId="6" fillId="0" borderId="0" xfId="0" applyFont="1" applyAlignment="1">
      <alignment vertical="center"/>
    </xf>
    <xf numFmtId="0" fontId="7" fillId="0" borderId="15" xfId="0" applyFont="1" applyBorder="1" applyAlignment="1">
      <alignment horizontal="left"/>
    </xf>
    <xf numFmtId="0" fontId="24" fillId="0" borderId="15" xfId="0" applyFont="1" applyBorder="1" applyAlignment="1">
      <alignment horizontal="left"/>
    </xf>
    <xf numFmtId="0" fontId="5" fillId="0" borderId="24" xfId="0" applyFont="1" applyBorder="1" applyAlignment="1">
      <alignment horizontal="left" vertical="center"/>
    </xf>
    <xf numFmtId="14" fontId="7" fillId="3" borderId="1" xfId="0" applyNumberFormat="1" applyFont="1" applyFill="1" applyBorder="1" applyAlignment="1">
      <alignment horizontal="left"/>
    </xf>
    <xf numFmtId="0" fontId="23" fillId="0" borderId="1" xfId="0" applyFont="1" applyBorder="1"/>
    <xf numFmtId="165" fontId="12" fillId="6" borderId="1" xfId="0" applyNumberFormat="1" applyFont="1" applyFill="1" applyBorder="1" applyAlignment="1">
      <alignment horizontal="left" vertical="center"/>
    </xf>
    <xf numFmtId="10" fontId="12" fillId="6" borderId="1" xfId="0" applyNumberFormat="1" applyFont="1" applyFill="1" applyBorder="1" applyAlignment="1">
      <alignment horizontal="left" vertical="center"/>
    </xf>
    <xf numFmtId="165" fontId="12" fillId="6" borderId="1" xfId="0" applyNumberFormat="1" applyFont="1" applyFill="1" applyBorder="1" applyAlignment="1">
      <alignment horizontal="left"/>
    </xf>
    <xf numFmtId="0" fontId="12" fillId="6" borderId="1" xfId="0" applyFont="1" applyFill="1" applyBorder="1" applyAlignment="1">
      <alignment horizontal="left"/>
    </xf>
    <xf numFmtId="0" fontId="7" fillId="0" borderId="1" xfId="0" applyFont="1" applyBorder="1"/>
    <xf numFmtId="0" fontId="2" fillId="0" borderId="25" xfId="0" applyFont="1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18" fillId="0" borderId="26" xfId="0" applyFont="1" applyBorder="1"/>
    <xf numFmtId="0" fontId="18" fillId="0" borderId="28" xfId="0" applyFont="1" applyBorder="1"/>
    <xf numFmtId="0" fontId="18" fillId="0" borderId="10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left" vertical="center" wrapText="1"/>
    </xf>
    <xf numFmtId="0" fontId="18" fillId="0" borderId="12" xfId="0" applyFont="1" applyBorder="1"/>
    <xf numFmtId="0" fontId="19" fillId="0" borderId="11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0" fillId="0" borderId="4" xfId="0" applyFont="1" applyBorder="1"/>
    <xf numFmtId="0" fontId="10" fillId="0" borderId="0" xfId="0" applyFont="1"/>
    <xf numFmtId="0" fontId="2" fillId="0" borderId="15" xfId="0" applyFont="1" applyBorder="1" applyAlignment="1">
      <alignment horizontal="center" vertical="center"/>
    </xf>
    <xf numFmtId="0" fontId="20" fillId="0" borderId="1" xfId="0" applyFont="1" applyBorder="1"/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2" fillId="0" borderId="1" xfId="0" applyFont="1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/>
    <xf numFmtId="0" fontId="10" fillId="0" borderId="1" xfId="0" applyFont="1" applyBorder="1" applyAlignment="1">
      <alignment horizontal="left" vertical="center"/>
    </xf>
    <xf numFmtId="0" fontId="10" fillId="0" borderId="1" xfId="0" applyFont="1" applyBorder="1"/>
    <xf numFmtId="0" fontId="10" fillId="2" borderId="1" xfId="0" applyFont="1" applyFill="1" applyBorder="1"/>
    <xf numFmtId="0" fontId="4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0" fontId="6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/>
    </xf>
    <xf numFmtId="10" fontId="12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4" fontId="4" fillId="0" borderId="0" xfId="0" applyNumberFormat="1" applyFont="1"/>
    <xf numFmtId="0" fontId="4" fillId="3" borderId="1" xfId="0" applyFont="1" applyFill="1" applyBorder="1"/>
    <xf numFmtId="0" fontId="4" fillId="3" borderId="0" xfId="0" applyFont="1" applyFill="1" applyAlignment="1">
      <alignment horizontal="left"/>
    </xf>
    <xf numFmtId="0" fontId="7" fillId="2" borderId="1" xfId="0" applyFont="1" applyFill="1" applyBorder="1" applyAlignment="1">
      <alignment horizontal="left"/>
    </xf>
    <xf numFmtId="14" fontId="6" fillId="3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14" fontId="4" fillId="3" borderId="1" xfId="0" applyNumberFormat="1" applyFont="1" applyFill="1" applyBorder="1" applyAlignment="1">
      <alignment horizontal="left" vertical="center"/>
    </xf>
    <xf numFmtId="0" fontId="6" fillId="3" borderId="1" xfId="0" applyFont="1" applyFill="1" applyBorder="1"/>
    <xf numFmtId="165" fontId="6" fillId="3" borderId="1" xfId="0" applyNumberFormat="1" applyFont="1" applyFill="1" applyBorder="1" applyAlignment="1">
      <alignment horizontal="left" vertical="center"/>
    </xf>
    <xf numFmtId="14" fontId="4" fillId="3" borderId="1" xfId="0" applyNumberFormat="1" applyFont="1" applyFill="1" applyBorder="1" applyAlignment="1">
      <alignment horizontal="left"/>
    </xf>
    <xf numFmtId="0" fontId="6" fillId="3" borderId="1" xfId="0" applyFont="1" applyFill="1" applyBorder="1" applyAlignment="1">
      <alignment horizontal="left" wrapText="1"/>
    </xf>
    <xf numFmtId="0" fontId="25" fillId="0" borderId="0" xfId="0" applyFont="1"/>
    <xf numFmtId="0" fontId="1" fillId="0" borderId="0" xfId="0" applyFont="1" applyAlignment="1">
      <alignment vertical="center" wrapText="1"/>
    </xf>
    <xf numFmtId="0" fontId="26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164" fontId="17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64" fontId="2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/>
    </xf>
    <xf numFmtId="9" fontId="6" fillId="0" borderId="0" xfId="0" applyNumberFormat="1" applyFont="1"/>
    <xf numFmtId="0" fontId="4" fillId="0" borderId="2" xfId="0" applyFont="1" applyBorder="1"/>
    <xf numFmtId="10" fontId="6" fillId="3" borderId="1" xfId="0" applyNumberFormat="1" applyFont="1" applyFill="1" applyBorder="1" applyAlignment="1">
      <alignment horizontal="left" vertical="center"/>
    </xf>
    <xf numFmtId="165" fontId="6" fillId="4" borderId="1" xfId="0" applyNumberFormat="1" applyFont="1" applyFill="1" applyBorder="1" applyAlignment="1">
      <alignment horizontal="left" vertical="center"/>
    </xf>
    <xf numFmtId="0" fontId="23" fillId="3" borderId="1" xfId="0" applyFont="1" applyFill="1" applyBorder="1" applyAlignment="1">
      <alignment horizontal="left" wrapText="1"/>
    </xf>
    <xf numFmtId="0" fontId="27" fillId="2" borderId="1" xfId="0" applyFont="1" applyFill="1" applyBorder="1" applyAlignment="1">
      <alignment horizontal="left"/>
    </xf>
    <xf numFmtId="0" fontId="27" fillId="0" borderId="1" xfId="0" applyFont="1" applyBorder="1" applyAlignment="1">
      <alignment horizontal="left"/>
    </xf>
    <xf numFmtId="0" fontId="27" fillId="0" borderId="1" xfId="0" applyFont="1" applyBorder="1" applyAlignment="1">
      <alignment horizontal="left" vertical="center"/>
    </xf>
    <xf numFmtId="14" fontId="27" fillId="0" borderId="1" xfId="0" applyNumberFormat="1" applyFont="1" applyBorder="1" applyAlignment="1">
      <alignment horizontal="left" vertical="center"/>
    </xf>
    <xf numFmtId="165" fontId="27" fillId="0" borderId="1" xfId="0" applyNumberFormat="1" applyFont="1" applyBorder="1" applyAlignment="1">
      <alignment horizontal="left" vertical="center"/>
    </xf>
    <xf numFmtId="10" fontId="27" fillId="0" borderId="1" xfId="0" applyNumberFormat="1" applyFont="1" applyBorder="1" applyAlignment="1">
      <alignment horizontal="left" vertical="center"/>
    </xf>
    <xf numFmtId="0" fontId="7" fillId="0" borderId="0" xfId="0" applyFont="1"/>
    <xf numFmtId="10" fontId="27" fillId="2" borderId="1" xfId="0" applyNumberFormat="1" applyFont="1" applyFill="1" applyBorder="1" applyAlignment="1">
      <alignment horizontal="left" vertical="center"/>
    </xf>
    <xf numFmtId="0" fontId="28" fillId="0" borderId="0" xfId="0" applyFont="1" applyAlignment="1">
      <alignment vertical="center"/>
    </xf>
    <xf numFmtId="0" fontId="7" fillId="2" borderId="1" xfId="0" applyFont="1" applyFill="1" applyBorder="1" applyAlignment="1">
      <alignment horizontal="left" wrapText="1"/>
    </xf>
    <xf numFmtId="2" fontId="12" fillId="0" borderId="1" xfId="0" applyNumberFormat="1" applyFont="1" applyBorder="1" applyAlignment="1">
      <alignment horizontal="left" vertical="center"/>
    </xf>
    <xf numFmtId="2" fontId="4" fillId="0" borderId="1" xfId="0" applyNumberFormat="1" applyFont="1" applyBorder="1" applyAlignment="1">
      <alignment horizontal="left"/>
    </xf>
    <xf numFmtId="2" fontId="12" fillId="6" borderId="1" xfId="0" applyNumberFormat="1" applyFont="1" applyFill="1" applyBorder="1" applyAlignment="1">
      <alignment horizontal="left"/>
    </xf>
    <xf numFmtId="2" fontId="4" fillId="0" borderId="0" xfId="0" applyNumberFormat="1" applyFont="1" applyAlignment="1">
      <alignment horizontal="left"/>
    </xf>
    <xf numFmtId="0" fontId="1" fillId="0" borderId="29" xfId="0" applyFont="1" applyBorder="1" applyAlignment="1">
      <alignment vertical="center" wrapText="1"/>
    </xf>
    <xf numFmtId="0" fontId="6" fillId="0" borderId="30" xfId="0" applyFont="1" applyBorder="1"/>
    <xf numFmtId="0" fontId="6" fillId="0" borderId="1" xfId="0" applyFont="1" applyBorder="1" applyAlignment="1">
      <alignment horizontal="left" wrapText="1"/>
    </xf>
    <xf numFmtId="0" fontId="17" fillId="0" borderId="0" xfId="0" applyFont="1"/>
    <xf numFmtId="0" fontId="6" fillId="0" borderId="2" xfId="0" applyFont="1" applyBorder="1" applyAlignment="1">
      <alignment horizontal="left" vertical="center"/>
    </xf>
    <xf numFmtId="0" fontId="6" fillId="0" borderId="4" xfId="0" applyFont="1" applyBorder="1" applyAlignment="1">
      <alignment horizontal="left"/>
    </xf>
    <xf numFmtId="14" fontId="6" fillId="0" borderId="2" xfId="0" applyNumberFormat="1" applyFont="1" applyBorder="1" applyAlignment="1">
      <alignment horizontal="left"/>
    </xf>
    <xf numFmtId="0" fontId="6" fillId="0" borderId="2" xfId="0" applyFont="1" applyBorder="1" applyAlignment="1">
      <alignment vertical="center"/>
    </xf>
    <xf numFmtId="0" fontId="29" fillId="0" borderId="1" xfId="0" applyFont="1" applyBorder="1" applyAlignment="1">
      <alignment horizontal="left" wrapText="1"/>
    </xf>
    <xf numFmtId="0" fontId="30" fillId="0" borderId="1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5" fillId="0" borderId="31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164" fontId="4" fillId="0" borderId="32" xfId="0" applyNumberFormat="1" applyFont="1" applyBorder="1" applyAlignment="1">
      <alignment horizontal="center" vertical="center"/>
    </xf>
    <xf numFmtId="10" fontId="4" fillId="0" borderId="32" xfId="0" applyNumberFormat="1" applyFont="1" applyBorder="1" applyAlignment="1">
      <alignment horizontal="center" vertical="center"/>
    </xf>
    <xf numFmtId="164" fontId="17" fillId="0" borderId="32" xfId="0" applyNumberFormat="1" applyFont="1" applyBorder="1" applyAlignment="1">
      <alignment horizontal="center" vertical="center"/>
    </xf>
    <xf numFmtId="164" fontId="5" fillId="0" borderId="32" xfId="0" applyNumberFormat="1" applyFont="1" applyBorder="1" applyAlignment="1">
      <alignment horizontal="center" vertical="center"/>
    </xf>
    <xf numFmtId="10" fontId="5" fillId="0" borderId="32" xfId="0" applyNumberFormat="1" applyFont="1" applyBorder="1" applyAlignment="1">
      <alignment horizontal="center" vertical="center"/>
    </xf>
    <xf numFmtId="164" fontId="26" fillId="0" borderId="32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5" fontId="6" fillId="6" borderId="1" xfId="0" applyNumberFormat="1" applyFont="1" applyFill="1" applyBorder="1" applyAlignment="1">
      <alignment horizontal="left" vertical="center"/>
    </xf>
    <xf numFmtId="165" fontId="6" fillId="6" borderId="1" xfId="0" applyNumberFormat="1" applyFont="1" applyFill="1" applyBorder="1" applyAlignment="1">
      <alignment horizontal="left"/>
    </xf>
    <xf numFmtId="10" fontId="6" fillId="6" borderId="1" xfId="0" applyNumberFormat="1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Fill="1" applyAlignment="1">
      <alignment horizontal="left"/>
    </xf>
    <xf numFmtId="0" fontId="4" fillId="0" borderId="3" xfId="0" applyFont="1" applyFill="1" applyBorder="1" applyAlignment="1">
      <alignment horizontal="left"/>
    </xf>
    <xf numFmtId="0" fontId="6" fillId="0" borderId="3" xfId="0" applyFont="1" applyFill="1" applyBorder="1" applyAlignment="1">
      <alignment horizontal="left"/>
    </xf>
    <xf numFmtId="14" fontId="6" fillId="0" borderId="3" xfId="0" applyNumberFormat="1" applyFont="1" applyFill="1" applyBorder="1" applyAlignment="1">
      <alignment horizontal="left"/>
    </xf>
    <xf numFmtId="0" fontId="6" fillId="0" borderId="0" xfId="0" applyFont="1" applyFill="1"/>
    <xf numFmtId="0" fontId="6" fillId="0" borderId="1" xfId="0" applyFont="1" applyFill="1" applyBorder="1" applyAlignment="1">
      <alignment horizontal="left"/>
    </xf>
    <xf numFmtId="165" fontId="6" fillId="0" borderId="3" xfId="0" applyNumberFormat="1" applyFont="1" applyFill="1" applyBorder="1" applyAlignment="1">
      <alignment horizontal="left" vertical="center"/>
    </xf>
    <xf numFmtId="10" fontId="6" fillId="0" borderId="1" xfId="0" applyNumberFormat="1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631A5-C84D-400C-8801-A83905B2DC9E}">
  <dimension ref="A2:I5"/>
  <sheetViews>
    <sheetView tabSelected="1" topLeftCell="C1" zoomScaleNormal="100" workbookViewId="0">
      <selection activeCell="I4" sqref="I4"/>
    </sheetView>
  </sheetViews>
  <sheetFormatPr baseColWidth="10" defaultColWidth="8.75" defaultRowHeight="14.25"/>
  <cols>
    <col min="1" max="1" width="21.5" customWidth="1"/>
    <col min="2" max="2" width="25.25" customWidth="1"/>
    <col min="3" max="3" width="25.5" customWidth="1"/>
    <col min="4" max="4" width="24.875" customWidth="1"/>
    <col min="5" max="5" width="22.625" customWidth="1"/>
    <col min="6" max="6" width="38.375" customWidth="1"/>
    <col min="7" max="7" width="20.125" bestFit="1" customWidth="1"/>
    <col min="8" max="8" width="13.25" bestFit="1" customWidth="1"/>
    <col min="9" max="9" width="9.875" bestFit="1" customWidth="1"/>
  </cols>
  <sheetData>
    <row r="2" spans="1:9" ht="15.75">
      <c r="A2" s="78" t="s">
        <v>4</v>
      </c>
      <c r="B2" s="78" t="s">
        <v>5</v>
      </c>
      <c r="C2" s="78" t="s">
        <v>0</v>
      </c>
      <c r="D2" s="78" t="s">
        <v>1</v>
      </c>
      <c r="E2" s="78" t="s">
        <v>2</v>
      </c>
      <c r="F2" s="78" t="s">
        <v>3</v>
      </c>
      <c r="G2" s="41" t="s">
        <v>144</v>
      </c>
      <c r="H2" s="41" t="s">
        <v>145</v>
      </c>
      <c r="I2" s="41" t="s">
        <v>118</v>
      </c>
    </row>
    <row r="3" spans="1:9" s="163" customFormat="1" ht="16.5" thickBot="1">
      <c r="A3" s="161">
        <v>78950745</v>
      </c>
      <c r="B3" s="162" t="s">
        <v>23</v>
      </c>
      <c r="C3" s="162" t="s">
        <v>10</v>
      </c>
      <c r="D3" s="162" t="s">
        <v>24</v>
      </c>
      <c r="E3" s="162" t="s">
        <v>26</v>
      </c>
      <c r="F3" s="162" t="s">
        <v>25</v>
      </c>
      <c r="G3" s="163">
        <v>672</v>
      </c>
      <c r="H3" s="163">
        <v>540</v>
      </c>
      <c r="I3" s="50">
        <f>G3/H3</f>
        <v>1.2444444444444445</v>
      </c>
    </row>
    <row r="4" spans="1:9" s="82" customFormat="1" ht="15" thickBot="1">
      <c r="A4" s="79">
        <v>78950916</v>
      </c>
      <c r="B4" s="80" t="s">
        <v>29</v>
      </c>
      <c r="C4" s="80" t="s">
        <v>13</v>
      </c>
      <c r="D4" s="80" t="s">
        <v>16</v>
      </c>
      <c r="E4" s="80" t="s">
        <v>30</v>
      </c>
      <c r="F4" s="81" t="s">
        <v>14</v>
      </c>
    </row>
    <row r="5" spans="1:9">
      <c r="G5">
        <f>SUM(G3:G4)</f>
        <v>672</v>
      </c>
      <c r="H5">
        <f>SUM(H3:H4)</f>
        <v>540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E4382-45CF-4EBC-8A95-A47C05BDE4DC}">
  <dimension ref="A2:J14"/>
  <sheetViews>
    <sheetView zoomScaleNormal="100" workbookViewId="0">
      <selection activeCell="B10" sqref="B10:E13"/>
    </sheetView>
  </sheetViews>
  <sheetFormatPr baseColWidth="10" defaultColWidth="8.75" defaultRowHeight="14.25"/>
  <cols>
    <col min="1" max="1" width="3.875" customWidth="1"/>
    <col min="2" max="2" width="21.5" customWidth="1"/>
    <col min="3" max="3" width="22.625" customWidth="1"/>
    <col min="4" max="4" width="24.75" customWidth="1"/>
    <col min="5" max="5" width="24.875" customWidth="1"/>
    <col min="6" max="6" width="22.625" customWidth="1"/>
    <col min="7" max="7" width="28.125" customWidth="1"/>
    <col min="8" max="8" width="20.125" bestFit="1" customWidth="1"/>
    <col min="9" max="9" width="13.25" bestFit="1" customWidth="1"/>
    <col min="10" max="10" width="11" customWidth="1"/>
  </cols>
  <sheetData>
    <row r="2" spans="1:10" ht="16.5" thickBot="1">
      <c r="B2" s="78" t="s">
        <v>4</v>
      </c>
      <c r="C2" s="78" t="s">
        <v>5</v>
      </c>
      <c r="D2" s="78" t="s">
        <v>0</v>
      </c>
      <c r="E2" s="78" t="s">
        <v>1</v>
      </c>
      <c r="F2" s="78" t="s">
        <v>2</v>
      </c>
      <c r="G2" s="151" t="s">
        <v>3</v>
      </c>
      <c r="H2" s="41" t="s">
        <v>144</v>
      </c>
      <c r="I2" s="41" t="s">
        <v>145</v>
      </c>
      <c r="J2" s="41" t="s">
        <v>118</v>
      </c>
    </row>
    <row r="3" spans="1:10" ht="16.5" thickBot="1">
      <c r="A3" t="s">
        <v>39</v>
      </c>
      <c r="B3" s="9">
        <v>78951111</v>
      </c>
      <c r="C3" s="7" t="s">
        <v>29</v>
      </c>
      <c r="D3" s="7" t="s">
        <v>8</v>
      </c>
      <c r="E3" s="7" t="s">
        <v>43</v>
      </c>
      <c r="F3" s="7" t="s">
        <v>35</v>
      </c>
      <c r="G3" s="152"/>
      <c r="H3" s="1">
        <v>188</v>
      </c>
      <c r="I3" s="1">
        <v>172</v>
      </c>
      <c r="J3" s="50">
        <f>H3/I3</f>
        <v>1.0930232558139534</v>
      </c>
    </row>
    <row r="4" spans="1:10" ht="16.5" thickBot="1">
      <c r="A4" t="s">
        <v>39</v>
      </c>
      <c r="B4" s="9">
        <v>78951122</v>
      </c>
      <c r="C4" s="7" t="s">
        <v>29</v>
      </c>
      <c r="D4" s="7" t="s">
        <v>12</v>
      </c>
      <c r="E4" s="7" t="s">
        <v>37</v>
      </c>
      <c r="F4" s="83">
        <v>117673</v>
      </c>
      <c r="G4" s="152"/>
      <c r="H4" s="1">
        <v>210</v>
      </c>
      <c r="I4" s="1">
        <v>162</v>
      </c>
      <c r="J4" s="50">
        <f t="shared" ref="J4:J13" si="0">H4/I4</f>
        <v>1.2962962962962963</v>
      </c>
    </row>
    <row r="5" spans="1:10" ht="16.5" thickBot="1">
      <c r="A5" t="s">
        <v>38</v>
      </c>
      <c r="B5" s="9">
        <v>78951191</v>
      </c>
      <c r="C5" s="7" t="s">
        <v>29</v>
      </c>
      <c r="D5" s="7" t="s">
        <v>8</v>
      </c>
      <c r="E5" s="7" t="s">
        <v>43</v>
      </c>
      <c r="F5" s="7" t="s">
        <v>44</v>
      </c>
      <c r="G5" s="152"/>
      <c r="H5" s="1">
        <v>188</v>
      </c>
      <c r="I5" s="1">
        <v>172</v>
      </c>
      <c r="J5" s="50">
        <f t="shared" si="0"/>
        <v>1.0930232558139534</v>
      </c>
    </row>
    <row r="6" spans="1:10" ht="16.5" thickBot="1">
      <c r="A6" t="s">
        <v>38</v>
      </c>
      <c r="B6" s="9">
        <v>78951154</v>
      </c>
      <c r="C6" s="7" t="s">
        <v>29</v>
      </c>
      <c r="D6" s="7" t="s">
        <v>40</v>
      </c>
      <c r="E6" s="7" t="s">
        <v>28</v>
      </c>
      <c r="F6" s="83">
        <v>48253</v>
      </c>
      <c r="G6" s="152"/>
      <c r="H6" s="1">
        <v>176</v>
      </c>
      <c r="I6" s="1">
        <v>136</v>
      </c>
      <c r="J6" s="50">
        <f t="shared" si="0"/>
        <v>1.2941176470588236</v>
      </c>
    </row>
    <row r="7" spans="1:10" ht="16.5" thickBot="1">
      <c r="A7" t="s">
        <v>38</v>
      </c>
      <c r="B7" s="11">
        <v>78951298</v>
      </c>
      <c r="C7" s="12" t="s">
        <v>29</v>
      </c>
      <c r="D7" s="6" t="s">
        <v>31</v>
      </c>
      <c r="E7" s="6" t="s">
        <v>48</v>
      </c>
      <c r="F7" s="6" t="s">
        <v>50</v>
      </c>
      <c r="G7" s="153" t="s">
        <v>32</v>
      </c>
      <c r="H7" s="1">
        <v>252</v>
      </c>
      <c r="I7" s="1">
        <v>200</v>
      </c>
      <c r="J7" s="50">
        <f t="shared" si="0"/>
        <v>1.26</v>
      </c>
    </row>
    <row r="8" spans="1:10" ht="16.5" thickBot="1">
      <c r="A8" t="s">
        <v>38</v>
      </c>
      <c r="B8" s="84">
        <v>78951228</v>
      </c>
      <c r="C8" s="13" t="s">
        <v>29</v>
      </c>
      <c r="D8" s="7" t="s">
        <v>6</v>
      </c>
      <c r="E8" s="7" t="s">
        <v>203</v>
      </c>
      <c r="F8" s="7" t="s">
        <v>46</v>
      </c>
      <c r="G8" s="152" t="s">
        <v>32</v>
      </c>
      <c r="H8" s="1">
        <v>770</v>
      </c>
      <c r="I8" s="1">
        <v>700</v>
      </c>
      <c r="J8" s="50">
        <f t="shared" si="0"/>
        <v>1.1000000000000001</v>
      </c>
    </row>
    <row r="9" spans="1:10" ht="16.5" thickBot="1">
      <c r="A9" t="s">
        <v>38</v>
      </c>
      <c r="B9" s="85">
        <v>78951301</v>
      </c>
      <c r="C9" s="10" t="s">
        <v>29</v>
      </c>
      <c r="D9" s="8" t="s">
        <v>15</v>
      </c>
      <c r="E9" s="8" t="s">
        <v>18</v>
      </c>
      <c r="F9" s="8" t="s">
        <v>47</v>
      </c>
      <c r="G9" s="154" t="s">
        <v>32</v>
      </c>
      <c r="H9" s="1">
        <v>142</v>
      </c>
      <c r="I9" s="1">
        <v>90</v>
      </c>
      <c r="J9" s="50">
        <f t="shared" si="0"/>
        <v>1.5777777777777777</v>
      </c>
    </row>
    <row r="10" spans="1:10" s="82" customFormat="1" ht="16.5" thickBot="1">
      <c r="A10" s="82" t="s">
        <v>38</v>
      </c>
      <c r="B10" s="79">
        <v>78951180</v>
      </c>
      <c r="C10" s="80" t="s">
        <v>29</v>
      </c>
      <c r="D10" s="80" t="s">
        <v>8</v>
      </c>
      <c r="E10" s="80" t="s">
        <v>41</v>
      </c>
      <c r="F10" s="80" t="s">
        <v>42</v>
      </c>
      <c r="G10" s="155" t="s">
        <v>20</v>
      </c>
      <c r="H10" s="93"/>
      <c r="I10" s="93"/>
      <c r="J10" s="50" t="e">
        <f t="shared" si="0"/>
        <v>#DIV/0!</v>
      </c>
    </row>
    <row r="11" spans="1:10" s="82" customFormat="1" ht="16.5" thickBot="1">
      <c r="B11" s="157">
        <v>78951454</v>
      </c>
      <c r="C11" s="158" t="s">
        <v>29</v>
      </c>
      <c r="D11" s="80" t="s">
        <v>54</v>
      </c>
      <c r="E11" s="159" t="s">
        <v>55</v>
      </c>
      <c r="F11" s="160" t="s">
        <v>57</v>
      </c>
      <c r="G11" s="155" t="s">
        <v>45</v>
      </c>
      <c r="H11" s="93"/>
      <c r="I11" s="93"/>
      <c r="J11" s="59" t="e">
        <f t="shared" si="0"/>
        <v>#DIV/0!</v>
      </c>
    </row>
    <row r="12" spans="1:10" s="82" customFormat="1" ht="16.5" thickBot="1">
      <c r="B12" s="86">
        <v>78951485</v>
      </c>
      <c r="C12" s="87" t="s">
        <v>29</v>
      </c>
      <c r="D12" s="88" t="s">
        <v>54</v>
      </c>
      <c r="E12" s="89" t="s">
        <v>55</v>
      </c>
      <c r="F12" s="90" t="s">
        <v>60</v>
      </c>
      <c r="G12" s="156" t="s">
        <v>45</v>
      </c>
      <c r="H12" s="93"/>
      <c r="I12" s="93"/>
      <c r="J12" s="50" t="e">
        <f t="shared" si="0"/>
        <v>#DIV/0!</v>
      </c>
    </row>
    <row r="13" spans="1:10" s="82" customFormat="1" ht="16.5" thickBot="1">
      <c r="A13" s="82" t="s">
        <v>39</v>
      </c>
      <c r="B13" s="79">
        <v>78951109</v>
      </c>
      <c r="C13" s="80" t="s">
        <v>29</v>
      </c>
      <c r="D13" s="80" t="s">
        <v>21</v>
      </c>
      <c r="E13" s="80" t="s">
        <v>34</v>
      </c>
      <c r="F13" s="80" t="s">
        <v>36</v>
      </c>
      <c r="G13" s="155" t="s">
        <v>19</v>
      </c>
      <c r="H13" s="93"/>
      <c r="I13" s="93"/>
      <c r="J13" s="50" t="e">
        <f t="shared" si="0"/>
        <v>#DIV/0!</v>
      </c>
    </row>
    <row r="14" spans="1:10">
      <c r="H14">
        <f>SUM(H3:H13)</f>
        <v>1926</v>
      </c>
      <c r="I14">
        <f>SUM(I3:I13)</f>
        <v>1632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4DA2E-0051-464F-BDD9-32E8A1648EA1}">
  <dimension ref="A2:I46"/>
  <sheetViews>
    <sheetView zoomScale="105" zoomScaleNormal="105" workbookViewId="0">
      <selection activeCell="C22" sqref="C22"/>
    </sheetView>
  </sheetViews>
  <sheetFormatPr baseColWidth="10" defaultColWidth="8.75" defaultRowHeight="14.25"/>
  <cols>
    <col min="1" max="2" width="21.5" customWidth="1"/>
    <col min="3" max="3" width="23.75" customWidth="1"/>
    <col min="4" max="4" width="24.875" customWidth="1"/>
    <col min="5" max="5" width="22.625" customWidth="1"/>
    <col min="6" max="6" width="26.875" customWidth="1"/>
    <col min="7" max="7" width="20.125" bestFit="1" customWidth="1"/>
    <col min="8" max="8" width="13.25" bestFit="1" customWidth="1"/>
    <col min="9" max="9" width="9.875" bestFit="1" customWidth="1"/>
  </cols>
  <sheetData>
    <row r="2" spans="1:9" ht="15.75">
      <c r="A2" s="4" t="s">
        <v>4</v>
      </c>
      <c r="B2" s="4" t="s">
        <v>5</v>
      </c>
      <c r="C2" s="4" t="s">
        <v>0</v>
      </c>
      <c r="D2" s="4" t="s">
        <v>1</v>
      </c>
      <c r="E2" s="4" t="s">
        <v>2</v>
      </c>
      <c r="F2" s="164" t="s">
        <v>76</v>
      </c>
      <c r="G2" s="41" t="s">
        <v>144</v>
      </c>
      <c r="H2" s="41" t="s">
        <v>145</v>
      </c>
      <c r="I2" s="41" t="s">
        <v>118</v>
      </c>
    </row>
    <row r="3" spans="1:9" s="82" customFormat="1" ht="15">
      <c r="A3" s="91">
        <v>78951488</v>
      </c>
      <c r="B3" s="92" t="s">
        <v>29</v>
      </c>
      <c r="C3" s="93" t="s">
        <v>15</v>
      </c>
      <c r="D3" s="165" t="s">
        <v>27</v>
      </c>
      <c r="E3" s="262" t="s">
        <v>64</v>
      </c>
      <c r="F3" s="93" t="s">
        <v>65</v>
      </c>
      <c r="G3" s="93"/>
      <c r="H3" s="93"/>
      <c r="I3" s="93"/>
    </row>
    <row r="4" spans="1:9" s="82" customFormat="1">
      <c r="A4" s="91">
        <v>78951489</v>
      </c>
      <c r="B4" s="92" t="s">
        <v>29</v>
      </c>
      <c r="C4" s="93" t="s">
        <v>15</v>
      </c>
      <c r="D4" s="93" t="s">
        <v>27</v>
      </c>
      <c r="E4" s="262"/>
      <c r="F4" s="93" t="s">
        <v>61</v>
      </c>
      <c r="G4" s="93"/>
      <c r="H4" s="93"/>
      <c r="I4" s="93"/>
    </row>
    <row r="5" spans="1:9" s="82" customFormat="1">
      <c r="A5" s="91">
        <v>78951490</v>
      </c>
      <c r="B5" s="92" t="s">
        <v>29</v>
      </c>
      <c r="C5" s="93" t="s">
        <v>15</v>
      </c>
      <c r="D5" s="93" t="s">
        <v>27</v>
      </c>
      <c r="E5" s="262"/>
      <c r="F5" s="93" t="s">
        <v>32</v>
      </c>
      <c r="G5" s="93"/>
      <c r="H5" s="93"/>
      <c r="I5" s="93"/>
    </row>
    <row r="6" spans="1:9" ht="15.75">
      <c r="A6" s="14">
        <v>78951491</v>
      </c>
      <c r="B6" s="3" t="s">
        <v>29</v>
      </c>
      <c r="C6" s="1" t="s">
        <v>15</v>
      </c>
      <c r="D6" s="1" t="s">
        <v>27</v>
      </c>
      <c r="E6" s="262"/>
      <c r="F6" s="1" t="s">
        <v>61</v>
      </c>
      <c r="G6" s="1">
        <v>76</v>
      </c>
      <c r="H6" s="1">
        <v>55</v>
      </c>
      <c r="I6" s="50">
        <f>G6/H6</f>
        <v>1.3818181818181818</v>
      </c>
    </row>
    <row r="7" spans="1:9" ht="15.75">
      <c r="A7" s="14">
        <v>78951492</v>
      </c>
      <c r="B7" s="3" t="s">
        <v>29</v>
      </c>
      <c r="C7" s="1" t="s">
        <v>15</v>
      </c>
      <c r="D7" s="1" t="s">
        <v>27</v>
      </c>
      <c r="E7" s="262"/>
      <c r="F7" s="1" t="s">
        <v>61</v>
      </c>
      <c r="G7" s="1">
        <v>76</v>
      </c>
      <c r="H7" s="1">
        <v>55</v>
      </c>
      <c r="I7" s="50">
        <f t="shared" ref="I7:I15" si="0">G7/H7</f>
        <v>1.3818181818181818</v>
      </c>
    </row>
    <row r="8" spans="1:9" ht="15.75">
      <c r="A8" s="14">
        <v>78951550</v>
      </c>
      <c r="B8" s="3" t="s">
        <v>29</v>
      </c>
      <c r="C8" s="1" t="s">
        <v>7</v>
      </c>
      <c r="D8" s="1" t="s">
        <v>27</v>
      </c>
      <c r="E8" s="166" t="s">
        <v>66</v>
      </c>
      <c r="F8" s="1" t="s">
        <v>32</v>
      </c>
      <c r="G8" s="1">
        <v>292</v>
      </c>
      <c r="H8" s="1">
        <v>280</v>
      </c>
      <c r="I8" s="50">
        <f t="shared" si="0"/>
        <v>1.0428571428571429</v>
      </c>
    </row>
    <row r="9" spans="1:9" ht="15.75">
      <c r="A9" s="167">
        <v>78951460</v>
      </c>
      <c r="B9" s="3" t="s">
        <v>29</v>
      </c>
      <c r="C9" s="1" t="s">
        <v>7</v>
      </c>
      <c r="D9" s="168" t="s">
        <v>58</v>
      </c>
      <c r="E9" s="169" t="s">
        <v>59</v>
      </c>
      <c r="F9" s="1"/>
      <c r="G9" s="1">
        <v>282</v>
      </c>
      <c r="H9" s="1">
        <v>272</v>
      </c>
      <c r="I9" s="50">
        <f t="shared" si="0"/>
        <v>1.036764705882353</v>
      </c>
    </row>
    <row r="10" spans="1:9" ht="15.75">
      <c r="A10" s="167">
        <v>78951497</v>
      </c>
      <c r="B10" s="3" t="s">
        <v>29</v>
      </c>
      <c r="C10" s="1" t="s">
        <v>62</v>
      </c>
      <c r="D10" s="1" t="s">
        <v>63</v>
      </c>
      <c r="E10" s="169" t="s">
        <v>51</v>
      </c>
      <c r="F10" s="1" t="s">
        <v>32</v>
      </c>
      <c r="G10" s="1">
        <v>114</v>
      </c>
      <c r="H10" s="1">
        <v>110</v>
      </c>
      <c r="I10" s="50">
        <f t="shared" si="0"/>
        <v>1.0363636363636364</v>
      </c>
    </row>
    <row r="11" spans="1:9" ht="15.75">
      <c r="A11" s="167">
        <v>78951689</v>
      </c>
      <c r="B11" s="3" t="s">
        <v>29</v>
      </c>
      <c r="C11" s="1" t="s">
        <v>15</v>
      </c>
      <c r="D11" s="1" t="s">
        <v>69</v>
      </c>
      <c r="E11" s="169" t="s">
        <v>70</v>
      </c>
      <c r="F11" s="1"/>
      <c r="G11" s="1">
        <v>114</v>
      </c>
      <c r="H11" s="1">
        <v>100</v>
      </c>
      <c r="I11" s="50">
        <f t="shared" si="0"/>
        <v>1.1399999999999999</v>
      </c>
    </row>
    <row r="12" spans="1:9" ht="15.75">
      <c r="A12" s="170">
        <v>78951337</v>
      </c>
      <c r="B12" s="1" t="s">
        <v>29</v>
      </c>
      <c r="C12" s="1" t="s">
        <v>7</v>
      </c>
      <c r="D12" s="1" t="s">
        <v>11</v>
      </c>
      <c r="E12" s="2" t="s">
        <v>74</v>
      </c>
      <c r="F12" s="1"/>
      <c r="G12" s="1">
        <v>584</v>
      </c>
      <c r="H12" s="1">
        <v>560</v>
      </c>
      <c r="I12" s="50">
        <f t="shared" si="0"/>
        <v>1.0428571428571429</v>
      </c>
    </row>
    <row r="13" spans="1:9" ht="15.75">
      <c r="A13" s="171">
        <v>78951715</v>
      </c>
      <c r="B13" s="171" t="s">
        <v>29</v>
      </c>
      <c r="C13" s="172" t="s">
        <v>9</v>
      </c>
      <c r="D13" s="172" t="s">
        <v>33</v>
      </c>
      <c r="E13" s="18" t="s">
        <v>75</v>
      </c>
      <c r="F13" s="172" t="s">
        <v>80</v>
      </c>
      <c r="G13" s="1"/>
      <c r="H13" s="1"/>
      <c r="I13" s="50" t="e">
        <f t="shared" si="0"/>
        <v>#DIV/0!</v>
      </c>
    </row>
    <row r="14" spans="1:9" ht="15.75">
      <c r="A14" s="173">
        <v>78951878</v>
      </c>
      <c r="B14" s="173" t="s">
        <v>29</v>
      </c>
      <c r="C14" s="174" t="s">
        <v>9</v>
      </c>
      <c r="D14" s="174" t="s">
        <v>33</v>
      </c>
      <c r="E14" s="19" t="s">
        <v>84</v>
      </c>
      <c r="F14" s="175" t="s">
        <v>85</v>
      </c>
      <c r="G14" s="1">
        <v>110</v>
      </c>
      <c r="H14" s="1">
        <v>100</v>
      </c>
      <c r="I14" s="50">
        <f t="shared" si="0"/>
        <v>1.1000000000000001</v>
      </c>
    </row>
    <row r="15" spans="1:9" ht="15.75">
      <c r="A15" s="3">
        <v>78951631</v>
      </c>
      <c r="B15" s="3" t="s">
        <v>29</v>
      </c>
      <c r="C15" s="1" t="s">
        <v>53</v>
      </c>
      <c r="D15" s="168" t="s">
        <v>67</v>
      </c>
      <c r="E15" s="169" t="s">
        <v>68</v>
      </c>
      <c r="F15" s="1" t="s">
        <v>32</v>
      </c>
      <c r="G15" s="1">
        <v>478</v>
      </c>
      <c r="H15" s="1">
        <v>444</v>
      </c>
      <c r="I15" s="50">
        <f t="shared" si="0"/>
        <v>1.0765765765765767</v>
      </c>
    </row>
    <row r="16" spans="1:9" ht="16.149999999999999" customHeight="1">
      <c r="A16" s="5"/>
      <c r="B16" s="5"/>
      <c r="C16" s="5"/>
      <c r="D16" s="5"/>
      <c r="E16" s="5"/>
      <c r="F16" s="5"/>
      <c r="G16">
        <f>SUM(G6:G15)</f>
        <v>2126</v>
      </c>
      <c r="H16">
        <f>SUM(H6:H15)</f>
        <v>1976</v>
      </c>
    </row>
    <row r="17" spans="1:6">
      <c r="A17" s="1"/>
      <c r="B17" s="1"/>
      <c r="C17" s="1"/>
      <c r="D17" s="1"/>
      <c r="E17" s="1"/>
      <c r="F17" s="1"/>
    </row>
    <row r="18" spans="1:6">
      <c r="A18" s="1"/>
      <c r="B18" s="1"/>
      <c r="C18" s="1"/>
      <c r="D18" s="1"/>
      <c r="E18" s="1"/>
      <c r="F18" s="1"/>
    </row>
    <row r="19" spans="1:6">
      <c r="A19" s="1"/>
      <c r="B19" s="1"/>
      <c r="C19" s="1"/>
      <c r="D19" s="1"/>
      <c r="E19" s="1"/>
      <c r="F19" s="1"/>
    </row>
    <row r="20" spans="1:6">
      <c r="A20" s="1"/>
      <c r="B20" s="1"/>
      <c r="C20" s="1"/>
      <c r="D20" s="1"/>
      <c r="E20" s="1"/>
      <c r="F20" s="1"/>
    </row>
    <row r="21" spans="1:6">
      <c r="A21" s="1"/>
      <c r="B21" s="1"/>
      <c r="C21" s="1"/>
      <c r="D21" s="1"/>
      <c r="E21" s="1"/>
      <c r="F21" s="1"/>
    </row>
    <row r="22" spans="1:6">
      <c r="A22" s="1"/>
      <c r="B22" s="1"/>
      <c r="C22" s="1"/>
      <c r="D22" s="1"/>
      <c r="E22" s="1"/>
      <c r="F22" s="1"/>
    </row>
    <row r="23" spans="1:6">
      <c r="A23" s="1"/>
      <c r="B23" s="1"/>
      <c r="C23" s="1"/>
      <c r="D23" s="1"/>
      <c r="E23" s="1"/>
      <c r="F23" s="1"/>
    </row>
    <row r="24" spans="1:6">
      <c r="A24" s="1"/>
      <c r="B24" s="1"/>
      <c r="C24" s="1"/>
      <c r="D24" s="1"/>
      <c r="E24" s="1"/>
      <c r="F24" s="1"/>
    </row>
    <row r="25" spans="1:6">
      <c r="A25" s="1"/>
      <c r="B25" s="1"/>
      <c r="C25" s="1"/>
      <c r="D25" s="1"/>
      <c r="E25" s="1"/>
      <c r="F25" s="1"/>
    </row>
    <row r="26" spans="1:6">
      <c r="A26" s="1"/>
      <c r="B26" s="1"/>
      <c r="C26" s="1"/>
      <c r="D26" s="1"/>
      <c r="E26" s="1"/>
      <c r="F26" s="1"/>
    </row>
    <row r="27" spans="1:6">
      <c r="A27" s="1"/>
      <c r="B27" s="1"/>
      <c r="C27" s="1"/>
      <c r="D27" s="1"/>
      <c r="E27" s="1"/>
      <c r="F27" s="1"/>
    </row>
    <row r="28" spans="1:6">
      <c r="A28" s="1"/>
      <c r="B28" s="1"/>
      <c r="C28" s="1"/>
      <c r="D28" s="1"/>
      <c r="E28" s="1"/>
      <c r="F28" s="1"/>
    </row>
    <row r="29" spans="1:6">
      <c r="A29" s="1"/>
      <c r="B29" s="1"/>
      <c r="C29" s="1"/>
      <c r="D29" s="1"/>
      <c r="E29" s="1"/>
      <c r="F29" s="1"/>
    </row>
    <row r="30" spans="1:6">
      <c r="A30" s="1"/>
      <c r="B30" s="1"/>
      <c r="C30" s="1"/>
      <c r="D30" s="1"/>
      <c r="E30" s="1"/>
      <c r="F30" s="1"/>
    </row>
    <row r="31" spans="1:6">
      <c r="A31" s="1"/>
      <c r="B31" s="1"/>
      <c r="C31" s="1"/>
      <c r="D31" s="1"/>
      <c r="E31" s="1"/>
      <c r="F31" s="1"/>
    </row>
    <row r="32" spans="1:6">
      <c r="A32" s="1"/>
      <c r="B32" s="1"/>
      <c r="C32" s="1"/>
      <c r="D32" s="1"/>
      <c r="E32" s="1"/>
      <c r="F32" s="1"/>
    </row>
    <row r="33" spans="1:6">
      <c r="A33" s="1"/>
      <c r="B33" s="1"/>
      <c r="C33" s="1"/>
      <c r="D33" s="1"/>
      <c r="E33" s="1"/>
      <c r="F33" s="1"/>
    </row>
    <row r="34" spans="1:6">
      <c r="A34" s="1"/>
      <c r="B34" s="1"/>
      <c r="C34" s="1"/>
      <c r="D34" s="1"/>
      <c r="E34" s="1"/>
      <c r="F34" s="1"/>
    </row>
    <row r="35" spans="1:6">
      <c r="A35" s="1"/>
      <c r="B35" s="1"/>
      <c r="C35" s="1"/>
      <c r="D35" s="1"/>
      <c r="E35" s="1"/>
      <c r="F35" s="1"/>
    </row>
    <row r="36" spans="1:6">
      <c r="A36" s="1"/>
      <c r="B36" s="1"/>
      <c r="C36" s="1"/>
      <c r="D36" s="1"/>
      <c r="E36" s="1"/>
      <c r="F36" s="1"/>
    </row>
    <row r="37" spans="1:6">
      <c r="A37" s="1"/>
      <c r="B37" s="1"/>
      <c r="C37" s="1"/>
      <c r="D37" s="1"/>
      <c r="E37" s="1"/>
      <c r="F37" s="1"/>
    </row>
    <row r="38" spans="1:6">
      <c r="A38" s="1"/>
      <c r="B38" s="1"/>
      <c r="C38" s="1"/>
      <c r="D38" s="1"/>
      <c r="E38" s="1"/>
      <c r="F38" s="1"/>
    </row>
    <row r="39" spans="1:6">
      <c r="A39" s="1"/>
      <c r="B39" s="1"/>
      <c r="C39" s="1"/>
      <c r="D39" s="1"/>
      <c r="E39" s="1"/>
      <c r="F39" s="1"/>
    </row>
    <row r="40" spans="1:6">
      <c r="A40" s="1"/>
      <c r="B40" s="1"/>
      <c r="C40" s="1"/>
      <c r="D40" s="1"/>
      <c r="E40" s="1"/>
      <c r="F40" s="1"/>
    </row>
    <row r="41" spans="1:6">
      <c r="A41" s="1"/>
      <c r="B41" s="1"/>
      <c r="C41" s="1"/>
      <c r="D41" s="1"/>
      <c r="E41" s="1"/>
      <c r="F41" s="1"/>
    </row>
    <row r="42" spans="1:6">
      <c r="A42" s="1"/>
      <c r="B42" s="1"/>
      <c r="C42" s="1"/>
      <c r="D42" s="1"/>
      <c r="E42" s="1"/>
      <c r="F42" s="1"/>
    </row>
    <row r="43" spans="1:6">
      <c r="A43" s="1"/>
      <c r="B43" s="1"/>
      <c r="C43" s="1"/>
      <c r="D43" s="1"/>
      <c r="E43" s="1"/>
      <c r="F43" s="1"/>
    </row>
    <row r="44" spans="1:6">
      <c r="A44" s="1"/>
      <c r="B44" s="1"/>
      <c r="C44" s="1"/>
      <c r="D44" s="1"/>
      <c r="E44" s="1"/>
      <c r="F44" s="1"/>
    </row>
    <row r="45" spans="1:6">
      <c r="A45" s="1"/>
      <c r="B45" s="1"/>
      <c r="C45" s="1"/>
      <c r="D45" s="1"/>
      <c r="E45" s="1"/>
      <c r="F45" s="1"/>
    </row>
    <row r="46" spans="1:6">
      <c r="A46" s="1"/>
      <c r="B46" s="1"/>
      <c r="C46" s="1"/>
      <c r="D46" s="1"/>
      <c r="E46" s="1"/>
      <c r="F46" s="1"/>
    </row>
  </sheetData>
  <mergeCells count="1">
    <mergeCell ref="E3:E7"/>
  </mergeCells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676F1-4837-4AF1-8AA0-4DEE92060D32}">
  <dimension ref="A2:M31"/>
  <sheetViews>
    <sheetView workbookViewId="0">
      <selection activeCell="B7" sqref="B7:F7"/>
    </sheetView>
  </sheetViews>
  <sheetFormatPr baseColWidth="10" defaultColWidth="8.875" defaultRowHeight="15.75"/>
  <cols>
    <col min="1" max="1" width="8.875" style="23"/>
    <col min="2" max="2" width="19.625" style="23" customWidth="1"/>
    <col min="3" max="3" width="21.5" style="23" customWidth="1"/>
    <col min="4" max="4" width="28" style="23" customWidth="1"/>
    <col min="5" max="5" width="13" style="23" customWidth="1"/>
    <col min="6" max="6" width="12.25" style="23" customWidth="1"/>
    <col min="7" max="7" width="19.5" style="23" customWidth="1"/>
    <col min="8" max="8" width="14.5" style="23" customWidth="1"/>
    <col min="9" max="9" width="19.5" style="23" customWidth="1"/>
    <col min="10" max="10" width="14.5" style="23" customWidth="1"/>
    <col min="11" max="11" width="10.625" style="23" customWidth="1"/>
    <col min="12" max="12" width="30.375" style="23" customWidth="1"/>
    <col min="13" max="13" width="54.625" style="23" customWidth="1"/>
    <col min="14" max="16384" width="8.875" style="23"/>
  </cols>
  <sheetData>
    <row r="2" spans="1:13">
      <c r="B2" s="21" t="s">
        <v>109</v>
      </c>
      <c r="C2" s="21" t="s">
        <v>110</v>
      </c>
      <c r="D2" s="21" t="s">
        <v>0</v>
      </c>
      <c r="E2" s="21" t="s">
        <v>119</v>
      </c>
      <c r="F2" s="21" t="s">
        <v>120</v>
      </c>
      <c r="G2" s="41" t="s">
        <v>2</v>
      </c>
      <c r="H2" s="41" t="s">
        <v>71</v>
      </c>
      <c r="I2" s="41" t="s">
        <v>116</v>
      </c>
      <c r="J2" s="41" t="s">
        <v>117</v>
      </c>
      <c r="K2" s="41" t="s">
        <v>118</v>
      </c>
      <c r="L2" s="21" t="s">
        <v>3</v>
      </c>
      <c r="M2" s="22" t="s">
        <v>82</v>
      </c>
    </row>
    <row r="3" spans="1:13">
      <c r="A3" s="23" t="s">
        <v>314</v>
      </c>
      <c r="B3" s="16">
        <v>78952083</v>
      </c>
      <c r="C3" s="35" t="s">
        <v>87</v>
      </c>
      <c r="D3" s="15" t="s">
        <v>17</v>
      </c>
      <c r="E3" s="30">
        <v>45748</v>
      </c>
      <c r="F3" s="36">
        <v>45752</v>
      </c>
      <c r="G3" s="40" t="s">
        <v>102</v>
      </c>
      <c r="H3" s="29" t="s">
        <v>32</v>
      </c>
      <c r="I3" s="51">
        <v>288</v>
      </c>
      <c r="J3" s="51">
        <v>264</v>
      </c>
      <c r="K3" s="50">
        <f>I3/J3</f>
        <v>1.0909090909090908</v>
      </c>
      <c r="L3" s="28"/>
      <c r="M3" s="15"/>
    </row>
    <row r="4" spans="1:13" s="31" customFormat="1">
      <c r="A4" s="31" t="s">
        <v>314</v>
      </c>
      <c r="B4" s="33">
        <v>78952037</v>
      </c>
      <c r="C4" s="29" t="s">
        <v>29</v>
      </c>
      <c r="D4" s="28" t="s">
        <v>83</v>
      </c>
      <c r="E4" s="30">
        <v>45748</v>
      </c>
      <c r="F4" s="30">
        <v>45749</v>
      </c>
      <c r="G4" s="32" t="s">
        <v>108</v>
      </c>
      <c r="H4" s="29" t="s">
        <v>32</v>
      </c>
      <c r="I4" s="51">
        <v>118</v>
      </c>
      <c r="J4" s="51">
        <v>114</v>
      </c>
      <c r="K4" s="50">
        <f t="shared" ref="K4:K19" si="0">I4/J4</f>
        <v>1.0350877192982457</v>
      </c>
      <c r="L4" s="28" t="s">
        <v>73</v>
      </c>
      <c r="M4" s="28"/>
    </row>
    <row r="5" spans="1:13" s="31" customFormat="1">
      <c r="A5" s="31" t="s">
        <v>314</v>
      </c>
      <c r="B5" s="33">
        <v>78952136</v>
      </c>
      <c r="C5" s="29" t="s">
        <v>87</v>
      </c>
      <c r="D5" s="15" t="s">
        <v>77</v>
      </c>
      <c r="E5" s="30">
        <v>45750</v>
      </c>
      <c r="F5" s="30">
        <v>45751</v>
      </c>
      <c r="G5" s="32" t="s">
        <v>107</v>
      </c>
      <c r="H5" s="29" t="s">
        <v>105</v>
      </c>
      <c r="I5" s="51">
        <v>98</v>
      </c>
      <c r="J5" s="51">
        <v>80</v>
      </c>
      <c r="K5" s="50">
        <f t="shared" si="0"/>
        <v>1.2250000000000001</v>
      </c>
      <c r="L5" s="28" t="s">
        <v>106</v>
      </c>
      <c r="M5" s="28"/>
    </row>
    <row r="6" spans="1:13" s="39" customFormat="1">
      <c r="B6" s="25">
        <v>78952055</v>
      </c>
      <c r="C6" s="37" t="s">
        <v>29</v>
      </c>
      <c r="D6" s="25" t="s">
        <v>97</v>
      </c>
      <c r="E6" s="38">
        <v>45751</v>
      </c>
      <c r="F6" s="38">
        <v>45755</v>
      </c>
      <c r="G6" s="42" t="s">
        <v>104</v>
      </c>
      <c r="H6" s="37" t="s">
        <v>98</v>
      </c>
      <c r="I6" s="61"/>
      <c r="J6" s="61"/>
      <c r="K6" s="59" t="e">
        <f t="shared" si="0"/>
        <v>#DIV/0!</v>
      </c>
      <c r="L6" s="25" t="s">
        <v>73</v>
      </c>
      <c r="M6" s="25"/>
    </row>
    <row r="7" spans="1:13" s="26" customFormat="1">
      <c r="B7" s="25">
        <v>78951086</v>
      </c>
      <c r="C7" s="17" t="s">
        <v>29</v>
      </c>
      <c r="D7" s="17" t="s">
        <v>6</v>
      </c>
      <c r="E7" s="24">
        <v>45752</v>
      </c>
      <c r="F7" s="24">
        <v>45753</v>
      </c>
      <c r="G7" s="25" t="s">
        <v>79</v>
      </c>
      <c r="H7" s="25"/>
      <c r="I7" s="62"/>
      <c r="J7" s="62"/>
      <c r="K7" s="59" t="e">
        <f t="shared" si="0"/>
        <v>#DIV/0!</v>
      </c>
      <c r="L7" s="17"/>
      <c r="M7" s="17"/>
    </row>
    <row r="8" spans="1:13">
      <c r="A8" s="23" t="s">
        <v>314</v>
      </c>
      <c r="B8" s="16">
        <v>78951809</v>
      </c>
      <c r="C8" s="15" t="s">
        <v>29</v>
      </c>
      <c r="D8" s="15" t="s">
        <v>77</v>
      </c>
      <c r="E8" s="27">
        <v>45752</v>
      </c>
      <c r="F8" s="27">
        <v>45753</v>
      </c>
      <c r="G8" s="29" t="s">
        <v>81</v>
      </c>
      <c r="H8" s="16" t="s">
        <v>78</v>
      </c>
      <c r="I8" s="52">
        <v>118</v>
      </c>
      <c r="J8" s="52">
        <v>100</v>
      </c>
      <c r="K8" s="50">
        <f t="shared" si="0"/>
        <v>1.18</v>
      </c>
      <c r="L8" s="15" t="s">
        <v>95</v>
      </c>
      <c r="M8" s="15" t="s">
        <v>86</v>
      </c>
    </row>
    <row r="9" spans="1:13">
      <c r="A9" s="23" t="s">
        <v>314</v>
      </c>
      <c r="B9" s="16">
        <v>78952041</v>
      </c>
      <c r="C9" s="15" t="s">
        <v>29</v>
      </c>
      <c r="D9" s="15" t="s">
        <v>17</v>
      </c>
      <c r="E9" s="27">
        <v>45754</v>
      </c>
      <c r="F9" s="27">
        <v>45760</v>
      </c>
      <c r="G9" s="32" t="s">
        <v>94</v>
      </c>
      <c r="H9" s="16" t="s">
        <v>61</v>
      </c>
      <c r="I9" s="52">
        <v>414</v>
      </c>
      <c r="J9" s="52">
        <v>348</v>
      </c>
      <c r="K9" s="50">
        <f t="shared" si="0"/>
        <v>1.1896551724137931</v>
      </c>
      <c r="L9" s="28" t="s">
        <v>73</v>
      </c>
      <c r="M9" s="15"/>
    </row>
    <row r="10" spans="1:13">
      <c r="A10" s="23" t="s">
        <v>314</v>
      </c>
      <c r="B10" s="16">
        <v>78952078</v>
      </c>
      <c r="C10" s="15" t="s">
        <v>29</v>
      </c>
      <c r="D10" s="15" t="s">
        <v>99</v>
      </c>
      <c r="E10" s="27">
        <v>45758</v>
      </c>
      <c r="F10" s="27">
        <v>45760</v>
      </c>
      <c r="G10" s="40" t="s">
        <v>103</v>
      </c>
      <c r="H10" s="16" t="s">
        <v>78</v>
      </c>
      <c r="I10" s="52">
        <v>216</v>
      </c>
      <c r="J10" s="52">
        <v>192</v>
      </c>
      <c r="K10" s="50">
        <f t="shared" si="0"/>
        <v>1.125</v>
      </c>
      <c r="L10" s="28" t="s">
        <v>100</v>
      </c>
      <c r="M10" s="15" t="s">
        <v>101</v>
      </c>
    </row>
    <row r="11" spans="1:13">
      <c r="A11" s="23" t="s">
        <v>314</v>
      </c>
      <c r="B11" s="16">
        <v>78951441</v>
      </c>
      <c r="C11" s="15" t="s">
        <v>29</v>
      </c>
      <c r="D11" s="15" t="s">
        <v>53</v>
      </c>
      <c r="E11" s="27">
        <v>45761</v>
      </c>
      <c r="F11" s="27">
        <v>45765</v>
      </c>
      <c r="G11" s="16" t="s">
        <v>56</v>
      </c>
      <c r="H11" s="16" t="s">
        <v>52</v>
      </c>
      <c r="I11" s="52">
        <v>656</v>
      </c>
      <c r="J11" s="52">
        <v>608</v>
      </c>
      <c r="K11" s="50">
        <f t="shared" si="0"/>
        <v>1.0789473684210527</v>
      </c>
      <c r="L11" s="15"/>
      <c r="M11" s="15"/>
    </row>
    <row r="12" spans="1:13" s="26" customFormat="1">
      <c r="B12" s="25">
        <v>78951839</v>
      </c>
      <c r="C12" s="17" t="s">
        <v>29</v>
      </c>
      <c r="D12" s="17" t="s">
        <v>83</v>
      </c>
      <c r="E12" s="24">
        <v>45761</v>
      </c>
      <c r="F12" s="24">
        <v>45766</v>
      </c>
      <c r="G12" s="17" t="s">
        <v>93</v>
      </c>
      <c r="H12" s="25" t="s">
        <v>61</v>
      </c>
      <c r="I12" s="62"/>
      <c r="J12" s="62"/>
      <c r="K12" s="59" t="e">
        <f t="shared" si="0"/>
        <v>#DIV/0!</v>
      </c>
      <c r="L12" s="17" t="s">
        <v>73</v>
      </c>
      <c r="M12" s="17"/>
    </row>
    <row r="13" spans="1:13" s="34" customFormat="1">
      <c r="A13" s="34" t="s">
        <v>314</v>
      </c>
      <c r="B13" s="16">
        <v>78952265</v>
      </c>
      <c r="C13" s="16" t="s">
        <v>29</v>
      </c>
      <c r="D13" s="48" t="s">
        <v>99</v>
      </c>
      <c r="E13" s="49">
        <v>45765</v>
      </c>
      <c r="F13" s="49">
        <v>45767</v>
      </c>
      <c r="G13" s="53" t="s">
        <v>115</v>
      </c>
      <c r="H13" s="16" t="s">
        <v>113</v>
      </c>
      <c r="I13" s="52">
        <v>216</v>
      </c>
      <c r="J13" s="52">
        <v>168</v>
      </c>
      <c r="K13" s="50">
        <f t="shared" si="0"/>
        <v>1.2857142857142858</v>
      </c>
      <c r="L13" s="16" t="s">
        <v>114</v>
      </c>
      <c r="M13" s="16"/>
    </row>
    <row r="14" spans="1:13">
      <c r="A14" s="23" t="s">
        <v>314</v>
      </c>
      <c r="B14" s="16">
        <v>78951718</v>
      </c>
      <c r="C14" s="15" t="s">
        <v>29</v>
      </c>
      <c r="D14" s="15" t="s">
        <v>15</v>
      </c>
      <c r="E14" s="27">
        <v>45767</v>
      </c>
      <c r="F14" s="27">
        <v>45768</v>
      </c>
      <c r="G14" s="16">
        <v>23271</v>
      </c>
      <c r="H14" s="16" t="s">
        <v>32</v>
      </c>
      <c r="I14" s="52">
        <v>114</v>
      </c>
      <c r="J14" s="52">
        <v>98</v>
      </c>
      <c r="K14" s="50">
        <f t="shared" si="0"/>
        <v>1.1632653061224489</v>
      </c>
      <c r="L14" s="15" t="s">
        <v>95</v>
      </c>
      <c r="M14" s="15"/>
    </row>
    <row r="15" spans="1:13" s="26" customFormat="1">
      <c r="B15" s="17">
        <v>78951756</v>
      </c>
      <c r="C15" s="17" t="s">
        <v>29</v>
      </c>
      <c r="D15" s="17" t="s">
        <v>17</v>
      </c>
      <c r="E15" s="24">
        <v>45770</v>
      </c>
      <c r="F15" s="24">
        <v>45771</v>
      </c>
      <c r="G15" s="43" t="s">
        <v>90</v>
      </c>
      <c r="H15" s="25" t="s">
        <v>32</v>
      </c>
      <c r="I15" s="62"/>
      <c r="J15" s="62"/>
      <c r="K15" s="59" t="e">
        <f t="shared" si="0"/>
        <v>#DIV/0!</v>
      </c>
      <c r="L15" s="17" t="s">
        <v>73</v>
      </c>
      <c r="M15" s="17"/>
    </row>
    <row r="16" spans="1:13" s="26" customFormat="1">
      <c r="B16" s="17">
        <v>78951761</v>
      </c>
      <c r="C16" s="17" t="s">
        <v>29</v>
      </c>
      <c r="D16" s="17" t="s">
        <v>17</v>
      </c>
      <c r="E16" s="24">
        <v>45770</v>
      </c>
      <c r="F16" s="24">
        <v>45771</v>
      </c>
      <c r="G16" s="17" t="s">
        <v>91</v>
      </c>
      <c r="H16" s="25" t="s">
        <v>72</v>
      </c>
      <c r="I16" s="62"/>
      <c r="J16" s="62"/>
      <c r="K16" s="59" t="e">
        <f t="shared" si="0"/>
        <v>#DIV/0!</v>
      </c>
      <c r="L16" s="17" t="s">
        <v>73</v>
      </c>
      <c r="M16" s="17"/>
    </row>
    <row r="17" spans="1:13">
      <c r="A17" s="23" t="s">
        <v>314</v>
      </c>
      <c r="B17" s="15">
        <v>78952558</v>
      </c>
      <c r="C17" s="15" t="s">
        <v>29</v>
      </c>
      <c r="D17" s="15" t="s">
        <v>17</v>
      </c>
      <c r="E17" s="27">
        <v>45771</v>
      </c>
      <c r="F17" s="27">
        <v>45772</v>
      </c>
      <c r="G17" s="56" t="s">
        <v>126</v>
      </c>
      <c r="H17" s="28" t="s">
        <v>32</v>
      </c>
      <c r="I17" s="52">
        <v>72</v>
      </c>
      <c r="J17" s="52">
        <v>66</v>
      </c>
      <c r="K17" s="50">
        <f t="shared" si="0"/>
        <v>1.0909090909090908</v>
      </c>
      <c r="L17" s="28" t="s">
        <v>112</v>
      </c>
      <c r="M17" s="15"/>
    </row>
    <row r="18" spans="1:13" ht="16.5" thickBot="1">
      <c r="B18" s="15"/>
      <c r="C18" s="15"/>
      <c r="D18" s="15"/>
      <c r="E18" s="15"/>
      <c r="F18" s="15"/>
      <c r="G18" s="28"/>
      <c r="H18" s="28"/>
      <c r="I18" s="96"/>
      <c r="J18" s="96"/>
      <c r="K18" s="96"/>
      <c r="L18" s="15"/>
      <c r="M18" s="15"/>
    </row>
    <row r="19" spans="1:13">
      <c r="B19" s="15"/>
      <c r="C19" s="15"/>
      <c r="D19" s="48"/>
      <c r="E19" s="15"/>
      <c r="F19" s="15"/>
      <c r="G19" s="15"/>
      <c r="H19" s="94"/>
      <c r="I19" s="97">
        <f>SUM(I3:I17)</f>
        <v>2310</v>
      </c>
      <c r="J19" s="98">
        <f>SUM(J3:J18)</f>
        <v>2038</v>
      </c>
      <c r="K19" s="99">
        <f t="shared" si="0"/>
        <v>1.1334641805691854</v>
      </c>
      <c r="L19" s="95"/>
      <c r="M19" s="15"/>
    </row>
    <row r="20" spans="1:13">
      <c r="B20" s="15"/>
      <c r="C20" s="15"/>
      <c r="D20" s="15"/>
      <c r="E20" s="15"/>
      <c r="F20" s="15"/>
      <c r="G20" s="28"/>
      <c r="H20" s="94"/>
      <c r="I20" s="100"/>
      <c r="J20" s="101"/>
      <c r="K20" s="102"/>
      <c r="L20" s="95"/>
      <c r="M20" s="15"/>
    </row>
    <row r="21" spans="1:13" ht="16.5" thickBot="1">
      <c r="B21" s="15"/>
      <c r="C21" s="15"/>
      <c r="D21" s="15"/>
      <c r="E21" s="15"/>
      <c r="F21" s="15"/>
      <c r="G21" s="15"/>
      <c r="H21" s="94"/>
      <c r="I21" s="103" t="s">
        <v>131</v>
      </c>
      <c r="J21" s="104">
        <f>I19-J19</f>
        <v>272</v>
      </c>
      <c r="K21" s="105"/>
      <c r="L21" s="95"/>
      <c r="M21" s="15"/>
    </row>
    <row r="22" spans="1:13">
      <c r="B22" s="15"/>
      <c r="C22" s="15"/>
      <c r="D22" s="15"/>
      <c r="E22" s="15"/>
      <c r="F22" s="15"/>
      <c r="G22" s="15"/>
      <c r="H22" s="15"/>
      <c r="I22" s="72"/>
      <c r="J22" s="72"/>
      <c r="K22" s="72"/>
      <c r="L22" s="15"/>
      <c r="M22" s="15"/>
    </row>
    <row r="23" spans="1:13"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</row>
    <row r="24" spans="1:13">
      <c r="B24" s="15"/>
      <c r="C24" s="15"/>
      <c r="D24" s="15"/>
      <c r="E24" s="15"/>
      <c r="F24" s="28"/>
      <c r="G24" s="15"/>
      <c r="H24" s="15"/>
      <c r="I24" s="15"/>
      <c r="J24" s="15"/>
      <c r="K24" s="15"/>
      <c r="L24" s="15"/>
      <c r="M24" s="15"/>
    </row>
    <row r="25" spans="1:13"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</row>
    <row r="26" spans="1:13"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</row>
    <row r="27" spans="1:13"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</row>
    <row r="28" spans="1:13"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</row>
    <row r="29" spans="1:13"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</row>
    <row r="30" spans="1:13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</row>
    <row r="31" spans="1:13"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</row>
  </sheetData>
  <autoFilter ref="A2:M17" xr:uid="{766676F1-4837-4AF1-8AA0-4DEE92060D32}"/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05231-3306-4C77-B4BE-395452165125}">
  <dimension ref="A1:M65"/>
  <sheetViews>
    <sheetView workbookViewId="0">
      <selection activeCell="B5" sqref="B5:F5"/>
    </sheetView>
  </sheetViews>
  <sheetFormatPr baseColWidth="10" defaultColWidth="8.75" defaultRowHeight="15.75"/>
  <cols>
    <col min="1" max="1" width="8.75" style="20"/>
    <col min="2" max="2" width="21.5" style="47" customWidth="1"/>
    <col min="3" max="3" width="25.5" style="47" customWidth="1"/>
    <col min="4" max="4" width="26.625" style="47" customWidth="1"/>
    <col min="5" max="5" width="14" style="47" customWidth="1"/>
    <col min="6" max="6" width="14.375" style="47" customWidth="1"/>
    <col min="7" max="7" width="18.5" style="47" customWidth="1"/>
    <col min="8" max="8" width="15.5" style="20" customWidth="1"/>
    <col min="9" max="9" width="20" style="20" customWidth="1"/>
    <col min="10" max="11" width="15.5" style="20" customWidth="1"/>
    <col min="12" max="12" width="29.75" style="20" customWidth="1"/>
    <col min="13" max="13" width="18.5" style="20" customWidth="1"/>
    <col min="14" max="16384" width="8.75" style="20"/>
  </cols>
  <sheetData>
    <row r="1" spans="1:13" ht="15" customHeight="1"/>
    <row r="2" spans="1:13" s="55" customFormat="1">
      <c r="B2" s="21" t="s">
        <v>138</v>
      </c>
      <c r="C2" s="21" t="s">
        <v>137</v>
      </c>
      <c r="D2" s="21" t="s">
        <v>139</v>
      </c>
      <c r="E2" s="21" t="s">
        <v>140</v>
      </c>
      <c r="F2" s="21" t="s">
        <v>141</v>
      </c>
      <c r="G2" s="41" t="s">
        <v>142</v>
      </c>
      <c r="H2" s="41" t="s">
        <v>143</v>
      </c>
      <c r="I2" s="41" t="s">
        <v>144</v>
      </c>
      <c r="J2" s="41" t="s">
        <v>145</v>
      </c>
      <c r="K2" s="41" t="s">
        <v>118</v>
      </c>
      <c r="L2" s="21" t="s">
        <v>146</v>
      </c>
      <c r="M2" s="22" t="s">
        <v>82</v>
      </c>
    </row>
    <row r="3" spans="1:13" s="31" customFormat="1">
      <c r="A3" s="31" t="s">
        <v>314</v>
      </c>
      <c r="B3" s="23">
        <v>78952482</v>
      </c>
      <c r="C3" s="28" t="s">
        <v>87</v>
      </c>
      <c r="D3" s="28" t="s">
        <v>15</v>
      </c>
      <c r="E3" s="44">
        <v>45779</v>
      </c>
      <c r="F3" s="44">
        <v>45780</v>
      </c>
      <c r="G3" s="40" t="s">
        <v>125</v>
      </c>
      <c r="H3" s="28" t="s">
        <v>61</v>
      </c>
      <c r="I3" s="51">
        <v>91</v>
      </c>
      <c r="J3" s="51">
        <v>74</v>
      </c>
      <c r="K3" s="50">
        <f t="shared" ref="K3:K9" si="0">I3/J3</f>
        <v>1.2297297297297298</v>
      </c>
      <c r="L3" s="28" t="s">
        <v>95</v>
      </c>
      <c r="M3" s="28"/>
    </row>
    <row r="4" spans="1:13" s="31" customFormat="1">
      <c r="A4" s="31" t="s">
        <v>314</v>
      </c>
      <c r="B4" s="28">
        <v>78952045</v>
      </c>
      <c r="C4" s="28" t="s">
        <v>87</v>
      </c>
      <c r="D4" s="28" t="s">
        <v>15</v>
      </c>
      <c r="E4" s="44">
        <v>45779</v>
      </c>
      <c r="F4" s="44">
        <v>45780</v>
      </c>
      <c r="G4" s="45" t="s">
        <v>96</v>
      </c>
      <c r="H4" s="28" t="s">
        <v>89</v>
      </c>
      <c r="I4" s="51">
        <v>114</v>
      </c>
      <c r="J4" s="51">
        <v>98</v>
      </c>
      <c r="K4" s="50">
        <f t="shared" si="0"/>
        <v>1.1632653061224489</v>
      </c>
      <c r="L4" s="28" t="s">
        <v>95</v>
      </c>
      <c r="M4" s="28"/>
    </row>
    <row r="5" spans="1:13" s="26" customFormat="1">
      <c r="B5" s="57">
        <v>78952301</v>
      </c>
      <c r="C5" s="17" t="s">
        <v>87</v>
      </c>
      <c r="D5" s="17" t="s">
        <v>111</v>
      </c>
      <c r="E5" s="24">
        <v>45780</v>
      </c>
      <c r="F5" s="24">
        <v>45781</v>
      </c>
      <c r="G5" s="17" t="s">
        <v>127</v>
      </c>
      <c r="H5" s="17" t="s">
        <v>89</v>
      </c>
      <c r="I5" s="58">
        <v>0</v>
      </c>
      <c r="J5" s="58">
        <v>0</v>
      </c>
      <c r="K5" s="59" t="e">
        <f t="shared" si="0"/>
        <v>#DIV/0!</v>
      </c>
      <c r="L5" s="17" t="s">
        <v>112</v>
      </c>
      <c r="M5" s="17"/>
    </row>
    <row r="6" spans="1:13" s="31" customFormat="1">
      <c r="A6" s="31" t="s">
        <v>314</v>
      </c>
      <c r="B6" s="23">
        <v>78952481</v>
      </c>
      <c r="C6" s="28" t="s">
        <v>87</v>
      </c>
      <c r="D6" s="28" t="s">
        <v>15</v>
      </c>
      <c r="E6" s="44">
        <v>45785</v>
      </c>
      <c r="F6" s="44">
        <v>45786</v>
      </c>
      <c r="G6" s="40" t="s">
        <v>124</v>
      </c>
      <c r="H6" s="28" t="s">
        <v>121</v>
      </c>
      <c r="I6" s="51">
        <v>91</v>
      </c>
      <c r="J6" s="51">
        <v>74</v>
      </c>
      <c r="K6" s="50">
        <f t="shared" si="0"/>
        <v>1.2297297297297298</v>
      </c>
      <c r="L6" s="28" t="s">
        <v>95</v>
      </c>
      <c r="M6" s="28"/>
    </row>
    <row r="7" spans="1:13" s="31" customFormat="1">
      <c r="A7" s="31" t="s">
        <v>314</v>
      </c>
      <c r="B7" s="63">
        <v>78951999</v>
      </c>
      <c r="C7" s="64" t="s">
        <v>136</v>
      </c>
      <c r="D7" s="28" t="s">
        <v>88</v>
      </c>
      <c r="E7" s="44">
        <v>45792</v>
      </c>
      <c r="F7" s="44">
        <v>45795</v>
      </c>
      <c r="G7" s="31" t="s">
        <v>92</v>
      </c>
      <c r="H7" s="28" t="s">
        <v>89</v>
      </c>
      <c r="I7" s="51">
        <v>204</v>
      </c>
      <c r="J7" s="51">
        <v>192</v>
      </c>
      <c r="K7" s="50">
        <f t="shared" si="0"/>
        <v>1.0625</v>
      </c>
      <c r="L7" s="28" t="s">
        <v>73</v>
      </c>
      <c r="M7" s="28"/>
    </row>
    <row r="8" spans="1:13" s="31" customFormat="1">
      <c r="A8" s="31" t="s">
        <v>314</v>
      </c>
      <c r="B8" s="15">
        <v>78952949</v>
      </c>
      <c r="C8" s="65" t="s">
        <v>147</v>
      </c>
      <c r="D8" s="48" t="s">
        <v>99</v>
      </c>
      <c r="E8" s="44">
        <v>45800</v>
      </c>
      <c r="F8" s="44">
        <v>45803</v>
      </c>
      <c r="G8" s="40" t="s">
        <v>132</v>
      </c>
      <c r="H8" s="28" t="s">
        <v>89</v>
      </c>
      <c r="I8" s="51">
        <v>324</v>
      </c>
      <c r="J8" s="51">
        <v>252</v>
      </c>
      <c r="K8" s="50">
        <f t="shared" si="0"/>
        <v>1.2857142857142858</v>
      </c>
      <c r="L8" s="16" t="s">
        <v>114</v>
      </c>
      <c r="M8" s="28"/>
    </row>
    <row r="9" spans="1:13" s="31" customFormat="1">
      <c r="A9" s="31" t="s">
        <v>314</v>
      </c>
      <c r="B9" s="15">
        <v>78953170</v>
      </c>
      <c r="C9" s="67" t="s">
        <v>152</v>
      </c>
      <c r="D9" s="48" t="s">
        <v>99</v>
      </c>
      <c r="E9" s="44">
        <v>45807</v>
      </c>
      <c r="F9" s="44">
        <v>45809</v>
      </c>
      <c r="G9" s="20" t="s">
        <v>156</v>
      </c>
      <c r="H9" s="28" t="s">
        <v>151</v>
      </c>
      <c r="I9" s="51">
        <v>432</v>
      </c>
      <c r="J9" s="51">
        <v>336</v>
      </c>
      <c r="K9" s="50">
        <f t="shared" si="0"/>
        <v>1.2857142857142858</v>
      </c>
      <c r="L9" s="16" t="s">
        <v>114</v>
      </c>
      <c r="M9" s="28"/>
    </row>
    <row r="10" spans="1:13" s="31" customFormat="1">
      <c r="B10" s="28"/>
      <c r="C10" s="66"/>
      <c r="D10" s="28"/>
      <c r="E10" s="28"/>
      <c r="F10" s="28"/>
      <c r="G10" s="28"/>
      <c r="H10" s="28"/>
      <c r="I10" s="51"/>
      <c r="J10" s="51"/>
      <c r="K10" s="28"/>
      <c r="L10" s="28"/>
      <c r="M10" s="28"/>
    </row>
    <row r="11" spans="1:13" s="31" customFormat="1" ht="16.5" thickBot="1">
      <c r="B11" s="28"/>
      <c r="C11" s="66"/>
      <c r="D11" s="28"/>
      <c r="E11" s="28"/>
      <c r="F11" s="28"/>
      <c r="G11" s="28"/>
      <c r="H11" s="28"/>
      <c r="I11" s="108"/>
      <c r="J11" s="108"/>
      <c r="K11" s="96"/>
      <c r="L11" s="28"/>
      <c r="M11" s="28"/>
    </row>
    <row r="12" spans="1:13" s="31" customFormat="1">
      <c r="B12" s="28"/>
      <c r="C12" s="66"/>
      <c r="D12" s="28"/>
      <c r="E12" s="28"/>
      <c r="F12" s="28"/>
      <c r="G12" s="28"/>
      <c r="H12" s="63"/>
      <c r="I12" s="110">
        <f>SUM(I3:I11)</f>
        <v>1256</v>
      </c>
      <c r="J12" s="111">
        <f>SUM(J3:J11)</f>
        <v>1026</v>
      </c>
      <c r="K12" s="99">
        <f t="shared" ref="K12" si="1">I12/J12</f>
        <v>1.2241715399610136</v>
      </c>
      <c r="L12" s="107"/>
      <c r="M12" s="28"/>
    </row>
    <row r="13" spans="1:13" s="31" customFormat="1">
      <c r="B13" s="28"/>
      <c r="C13" s="66"/>
      <c r="D13" s="28"/>
      <c r="E13" s="28"/>
      <c r="F13" s="28"/>
      <c r="G13" s="28"/>
      <c r="H13" s="63"/>
      <c r="I13" s="112"/>
      <c r="J13" s="106"/>
      <c r="K13" s="113"/>
      <c r="L13" s="107"/>
      <c r="M13" s="28"/>
    </row>
    <row r="14" spans="1:13" s="31" customFormat="1" ht="16.5" thickBot="1">
      <c r="B14" s="28"/>
      <c r="C14" s="66"/>
      <c r="D14" s="28"/>
      <c r="E14" s="28"/>
      <c r="F14" s="28"/>
      <c r="G14" s="28"/>
      <c r="H14" s="63"/>
      <c r="I14" s="103" t="s">
        <v>131</v>
      </c>
      <c r="J14" s="104">
        <f>I12-J12</f>
        <v>230</v>
      </c>
      <c r="K14" s="114"/>
      <c r="L14" s="107"/>
      <c r="M14" s="28"/>
    </row>
    <row r="15" spans="1:13" s="31" customFormat="1">
      <c r="B15" s="28"/>
      <c r="C15" s="66"/>
      <c r="D15" s="28"/>
      <c r="E15" s="28"/>
      <c r="F15" s="28"/>
      <c r="G15" s="28"/>
      <c r="H15" s="28"/>
      <c r="I15" s="74"/>
      <c r="J15" s="74"/>
      <c r="K15" s="109"/>
      <c r="L15" s="28"/>
      <c r="M15" s="28"/>
    </row>
    <row r="16" spans="1:13" s="31" customFormat="1">
      <c r="B16" s="28"/>
      <c r="C16" s="66"/>
      <c r="D16" s="28"/>
      <c r="E16" s="28"/>
      <c r="F16" s="28"/>
      <c r="G16" s="28"/>
      <c r="H16" s="28"/>
      <c r="I16" s="51"/>
      <c r="J16" s="51"/>
      <c r="K16" s="28"/>
      <c r="L16" s="28"/>
      <c r="M16" s="28"/>
    </row>
    <row r="17" spans="2:13" s="31" customFormat="1">
      <c r="B17" s="28"/>
      <c r="C17" s="66"/>
      <c r="D17" s="28"/>
      <c r="E17" s="28"/>
      <c r="F17" s="28"/>
      <c r="G17" s="28"/>
      <c r="H17" s="28"/>
      <c r="I17" s="51"/>
      <c r="J17" s="51"/>
      <c r="K17" s="28"/>
      <c r="L17" s="28"/>
      <c r="M17" s="28"/>
    </row>
    <row r="18" spans="2:13" s="31" customFormat="1">
      <c r="B18" s="28"/>
      <c r="C18" s="66"/>
      <c r="D18" s="28"/>
      <c r="E18" s="28"/>
      <c r="F18" s="28"/>
      <c r="G18" s="28"/>
      <c r="H18" s="28"/>
      <c r="I18" s="51"/>
      <c r="J18" s="51"/>
      <c r="K18" s="28"/>
      <c r="L18" s="28"/>
      <c r="M18" s="28"/>
    </row>
    <row r="19" spans="2:13" s="31" customFormat="1">
      <c r="B19" s="28"/>
      <c r="C19" s="66"/>
      <c r="D19" s="28"/>
      <c r="E19" s="28"/>
      <c r="F19" s="28"/>
      <c r="G19" s="28"/>
      <c r="H19" s="28"/>
      <c r="I19" s="51"/>
      <c r="J19" s="51"/>
      <c r="K19" s="28"/>
      <c r="L19" s="28"/>
      <c r="M19" s="28"/>
    </row>
    <row r="20" spans="2:13" s="31" customFormat="1">
      <c r="B20" s="28"/>
      <c r="C20" s="66"/>
      <c r="D20" s="28"/>
      <c r="E20" s="28"/>
      <c r="F20" s="28"/>
      <c r="G20" s="28"/>
      <c r="H20" s="28"/>
      <c r="I20" s="51"/>
      <c r="J20" s="51"/>
      <c r="K20" s="28"/>
      <c r="L20" s="28"/>
      <c r="M20" s="28"/>
    </row>
    <row r="21" spans="2:13" s="31" customFormat="1">
      <c r="B21" s="28"/>
      <c r="C21" s="66"/>
      <c r="D21" s="28"/>
      <c r="E21" s="28"/>
      <c r="F21" s="28"/>
      <c r="G21" s="28"/>
      <c r="H21" s="28"/>
      <c r="I21" s="51"/>
      <c r="J21" s="51"/>
      <c r="K21" s="28"/>
      <c r="L21" s="28"/>
      <c r="M21" s="28"/>
    </row>
    <row r="22" spans="2:13" s="31" customFormat="1">
      <c r="B22" s="28"/>
      <c r="C22" s="28"/>
      <c r="D22" s="28"/>
      <c r="E22" s="28"/>
      <c r="F22" s="28"/>
      <c r="G22" s="28"/>
      <c r="H22" s="28"/>
      <c r="I22" s="51"/>
      <c r="J22" s="51"/>
      <c r="K22" s="28"/>
      <c r="L22" s="28"/>
      <c r="M22" s="28"/>
    </row>
    <row r="23" spans="2:13" s="31" customFormat="1">
      <c r="B23" s="28"/>
      <c r="C23" s="28"/>
      <c r="D23" s="28"/>
      <c r="E23" s="28"/>
      <c r="F23" s="28"/>
      <c r="G23" s="28"/>
      <c r="H23" s="28"/>
      <c r="I23" s="51"/>
      <c r="J23" s="51"/>
      <c r="K23" s="28"/>
      <c r="L23" s="28"/>
      <c r="M23" s="28"/>
    </row>
    <row r="24" spans="2:13" s="31" customFormat="1">
      <c r="B24" s="28"/>
      <c r="C24" s="28"/>
      <c r="D24" s="28"/>
      <c r="E24" s="28"/>
      <c r="F24" s="28"/>
      <c r="G24" s="28"/>
      <c r="H24" s="28"/>
      <c r="I24" s="51"/>
      <c r="J24" s="51"/>
      <c r="K24" s="28"/>
      <c r="L24" s="28"/>
      <c r="M24" s="28"/>
    </row>
    <row r="25" spans="2:13" s="31" customFormat="1">
      <c r="B25" s="28"/>
      <c r="C25" s="28"/>
      <c r="D25" s="28"/>
      <c r="E25" s="28"/>
      <c r="F25" s="28"/>
      <c r="G25" s="28"/>
      <c r="H25" s="28"/>
      <c r="I25" s="51"/>
      <c r="J25" s="51"/>
      <c r="K25" s="28"/>
      <c r="L25" s="28"/>
      <c r="M25" s="28"/>
    </row>
    <row r="26" spans="2:13" s="31" customFormat="1">
      <c r="B26" s="28"/>
      <c r="C26" s="28"/>
      <c r="D26" s="28"/>
      <c r="E26" s="28"/>
      <c r="F26" s="28"/>
      <c r="G26" s="28"/>
      <c r="H26" s="28"/>
      <c r="I26" s="51"/>
      <c r="J26" s="51"/>
      <c r="K26" s="28"/>
      <c r="L26" s="28"/>
      <c r="M26" s="28"/>
    </row>
    <row r="27" spans="2:13" s="31" customFormat="1"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</row>
    <row r="28" spans="2:13">
      <c r="B28" s="46"/>
      <c r="C28" s="46"/>
      <c r="D28" s="46"/>
      <c r="E28" s="46"/>
      <c r="F28" s="46"/>
      <c r="G28" s="46"/>
      <c r="H28" s="32"/>
      <c r="I28" s="32"/>
      <c r="J28" s="32"/>
      <c r="K28" s="32"/>
      <c r="L28" s="32"/>
      <c r="M28" s="32"/>
    </row>
    <row r="29" spans="2:13">
      <c r="B29" s="46"/>
      <c r="C29" s="46"/>
      <c r="D29" s="46"/>
      <c r="E29" s="46"/>
      <c r="F29" s="46"/>
      <c r="G29" s="46"/>
      <c r="H29" s="32"/>
      <c r="I29" s="32"/>
      <c r="J29" s="32"/>
      <c r="K29" s="32"/>
      <c r="L29" s="32"/>
      <c r="M29" s="32"/>
    </row>
    <row r="30" spans="2:13">
      <c r="B30" s="46"/>
      <c r="C30" s="46"/>
      <c r="D30" s="46"/>
      <c r="E30" s="46"/>
      <c r="F30" s="46"/>
      <c r="G30" s="46"/>
      <c r="H30" s="32"/>
      <c r="I30" s="32"/>
      <c r="J30" s="32"/>
      <c r="K30" s="32"/>
      <c r="L30" s="32"/>
      <c r="M30" s="32"/>
    </row>
    <row r="31" spans="2:13">
      <c r="B31" s="46"/>
      <c r="C31" s="46"/>
      <c r="D31" s="46"/>
      <c r="E31" s="46"/>
      <c r="F31" s="46"/>
      <c r="G31" s="46"/>
      <c r="H31" s="32"/>
      <c r="I31" s="32"/>
      <c r="J31" s="32"/>
      <c r="K31" s="32"/>
      <c r="L31" s="32"/>
      <c r="M31" s="32"/>
    </row>
    <row r="32" spans="2:13">
      <c r="B32" s="46"/>
      <c r="C32" s="46"/>
      <c r="D32" s="46"/>
      <c r="E32" s="46"/>
      <c r="F32" s="46"/>
      <c r="G32" s="46"/>
      <c r="H32" s="32"/>
      <c r="I32" s="32"/>
      <c r="J32" s="32"/>
      <c r="K32" s="32"/>
      <c r="L32" s="32"/>
      <c r="M32" s="32"/>
    </row>
    <row r="33" spans="2:13">
      <c r="B33" s="46"/>
      <c r="C33" s="46"/>
      <c r="D33" s="46"/>
      <c r="E33" s="46"/>
      <c r="F33" s="46"/>
      <c r="G33" s="46"/>
      <c r="H33" s="32"/>
      <c r="I33" s="32"/>
      <c r="J33" s="32"/>
      <c r="K33" s="32"/>
      <c r="L33" s="32"/>
      <c r="M33" s="32"/>
    </row>
    <row r="34" spans="2:13">
      <c r="B34" s="46"/>
      <c r="C34" s="46"/>
      <c r="D34" s="46"/>
      <c r="E34" s="46"/>
      <c r="F34" s="46"/>
      <c r="G34" s="46"/>
      <c r="H34" s="32"/>
      <c r="I34" s="32"/>
      <c r="J34" s="32"/>
      <c r="K34" s="32"/>
      <c r="L34" s="32"/>
      <c r="M34" s="32"/>
    </row>
    <row r="35" spans="2:13">
      <c r="B35" s="46"/>
      <c r="C35" s="46"/>
      <c r="D35" s="46"/>
      <c r="E35" s="46"/>
      <c r="F35" s="46"/>
      <c r="G35" s="46"/>
      <c r="H35" s="32"/>
      <c r="I35" s="32"/>
      <c r="J35" s="32"/>
      <c r="K35" s="32"/>
      <c r="L35" s="32"/>
      <c r="M35" s="32"/>
    </row>
    <row r="36" spans="2:13">
      <c r="B36" s="46"/>
      <c r="C36" s="46"/>
      <c r="D36" s="46"/>
      <c r="E36" s="46"/>
      <c r="F36" s="46"/>
      <c r="G36" s="46"/>
      <c r="H36" s="32"/>
      <c r="I36" s="32"/>
      <c r="J36" s="32"/>
      <c r="K36" s="32"/>
      <c r="L36" s="32"/>
      <c r="M36" s="32"/>
    </row>
    <row r="37" spans="2:13">
      <c r="B37" s="46"/>
      <c r="C37" s="46"/>
      <c r="D37" s="46"/>
      <c r="E37" s="46"/>
      <c r="F37" s="46"/>
      <c r="G37" s="46"/>
      <c r="H37" s="32"/>
      <c r="I37" s="32"/>
      <c r="J37" s="32"/>
      <c r="K37" s="32"/>
      <c r="L37" s="32"/>
      <c r="M37" s="32"/>
    </row>
    <row r="38" spans="2:13">
      <c r="B38" s="46"/>
      <c r="C38" s="46"/>
      <c r="D38" s="46"/>
      <c r="E38" s="46"/>
      <c r="F38" s="46"/>
      <c r="G38" s="46"/>
      <c r="H38" s="32"/>
      <c r="I38" s="32"/>
      <c r="J38" s="32"/>
      <c r="K38" s="32"/>
      <c r="L38" s="32"/>
      <c r="M38" s="32"/>
    </row>
    <row r="39" spans="2:13">
      <c r="B39" s="46"/>
      <c r="C39" s="46"/>
      <c r="D39" s="46"/>
      <c r="E39" s="46"/>
      <c r="F39" s="46"/>
      <c r="G39" s="46"/>
      <c r="H39" s="32"/>
      <c r="I39" s="32"/>
      <c r="J39" s="32"/>
      <c r="K39" s="32"/>
      <c r="L39" s="32"/>
      <c r="M39" s="32"/>
    </row>
    <row r="40" spans="2:13">
      <c r="B40" s="46"/>
      <c r="C40" s="46"/>
      <c r="D40" s="46"/>
      <c r="E40" s="46"/>
      <c r="F40" s="46"/>
      <c r="G40" s="46"/>
      <c r="H40" s="32"/>
      <c r="I40" s="32"/>
      <c r="J40" s="32"/>
      <c r="K40" s="32"/>
      <c r="L40" s="32"/>
      <c r="M40" s="32"/>
    </row>
    <row r="41" spans="2:13">
      <c r="B41" s="46"/>
      <c r="C41" s="46"/>
      <c r="D41" s="46"/>
      <c r="E41" s="46"/>
      <c r="F41" s="46"/>
      <c r="G41" s="46"/>
      <c r="H41" s="32"/>
      <c r="I41" s="32"/>
      <c r="J41" s="32"/>
      <c r="K41" s="32"/>
      <c r="L41" s="32"/>
      <c r="M41" s="32"/>
    </row>
    <row r="42" spans="2:13">
      <c r="B42" s="46"/>
      <c r="C42" s="46"/>
      <c r="D42" s="46"/>
      <c r="E42" s="46"/>
      <c r="F42" s="46"/>
      <c r="G42" s="46"/>
      <c r="H42" s="32"/>
      <c r="I42" s="32"/>
      <c r="J42" s="32"/>
      <c r="K42" s="32"/>
      <c r="L42" s="32"/>
      <c r="M42" s="32"/>
    </row>
    <row r="43" spans="2:13">
      <c r="B43" s="46"/>
      <c r="C43" s="46"/>
      <c r="D43" s="46"/>
      <c r="E43" s="46"/>
      <c r="F43" s="46"/>
      <c r="G43" s="46"/>
      <c r="H43" s="32"/>
      <c r="I43" s="32"/>
      <c r="J43" s="32"/>
      <c r="K43" s="32"/>
      <c r="L43" s="32"/>
      <c r="M43" s="32"/>
    </row>
    <row r="44" spans="2:13">
      <c r="B44" s="46"/>
      <c r="C44" s="46"/>
      <c r="D44" s="46"/>
      <c r="E44" s="46"/>
      <c r="F44" s="46"/>
      <c r="G44" s="46"/>
      <c r="H44" s="32"/>
      <c r="I44" s="32"/>
      <c r="J44" s="32"/>
      <c r="K44" s="32"/>
      <c r="L44" s="32"/>
      <c r="M44" s="32"/>
    </row>
    <row r="45" spans="2:13">
      <c r="B45" s="46"/>
      <c r="C45" s="46"/>
      <c r="D45" s="46"/>
      <c r="E45" s="46"/>
      <c r="F45" s="46"/>
      <c r="G45" s="46"/>
      <c r="H45" s="32"/>
      <c r="I45" s="32"/>
      <c r="J45" s="32"/>
      <c r="K45" s="32"/>
      <c r="L45" s="32"/>
      <c r="M45" s="32"/>
    </row>
    <row r="46" spans="2:13">
      <c r="B46" s="46"/>
      <c r="C46" s="46"/>
      <c r="D46" s="46"/>
      <c r="E46" s="46"/>
      <c r="F46" s="46"/>
      <c r="G46" s="46"/>
      <c r="H46" s="32"/>
      <c r="I46" s="32"/>
      <c r="J46" s="32"/>
      <c r="K46" s="32"/>
      <c r="L46" s="32"/>
      <c r="M46" s="32"/>
    </row>
    <row r="47" spans="2:13">
      <c r="B47" s="46"/>
      <c r="C47" s="46"/>
      <c r="D47" s="46"/>
      <c r="E47" s="46"/>
      <c r="F47" s="46"/>
      <c r="G47" s="46"/>
      <c r="H47" s="32"/>
      <c r="I47" s="32"/>
      <c r="J47" s="32"/>
      <c r="K47" s="32"/>
      <c r="L47" s="32"/>
      <c r="M47" s="32"/>
    </row>
    <row r="48" spans="2:13">
      <c r="B48" s="46"/>
      <c r="C48" s="46"/>
      <c r="D48" s="46"/>
      <c r="E48" s="46"/>
      <c r="F48" s="46"/>
      <c r="G48" s="46"/>
      <c r="H48" s="32"/>
      <c r="I48" s="32"/>
      <c r="J48" s="32"/>
      <c r="K48" s="32"/>
      <c r="L48" s="32"/>
      <c r="M48" s="32"/>
    </row>
    <row r="49" spans="2:13">
      <c r="B49" s="46"/>
      <c r="C49" s="46"/>
      <c r="D49" s="46"/>
      <c r="E49" s="46"/>
      <c r="F49" s="46"/>
      <c r="G49" s="46"/>
      <c r="H49" s="32"/>
      <c r="I49" s="32"/>
      <c r="J49" s="32"/>
      <c r="K49" s="32"/>
      <c r="L49" s="32"/>
      <c r="M49" s="32"/>
    </row>
    <row r="50" spans="2:13">
      <c r="B50" s="46"/>
      <c r="C50" s="46"/>
      <c r="D50" s="46"/>
      <c r="E50" s="46"/>
      <c r="F50" s="46"/>
      <c r="G50" s="46"/>
      <c r="H50" s="32"/>
      <c r="I50" s="32"/>
      <c r="J50" s="32"/>
      <c r="K50" s="32"/>
      <c r="L50" s="32"/>
      <c r="M50" s="32"/>
    </row>
    <row r="51" spans="2:13">
      <c r="B51" s="46"/>
      <c r="C51" s="46"/>
      <c r="D51" s="46"/>
      <c r="E51" s="46"/>
      <c r="F51" s="46"/>
      <c r="G51" s="46"/>
      <c r="H51" s="32"/>
      <c r="I51" s="32"/>
      <c r="J51" s="32"/>
      <c r="K51" s="32"/>
      <c r="L51" s="32"/>
      <c r="M51" s="32"/>
    </row>
    <row r="52" spans="2:13">
      <c r="B52" s="46"/>
      <c r="C52" s="46"/>
      <c r="D52" s="46"/>
      <c r="E52" s="46"/>
      <c r="F52" s="46"/>
      <c r="G52" s="46"/>
      <c r="H52" s="32"/>
      <c r="I52" s="32"/>
      <c r="J52" s="32"/>
      <c r="K52" s="32"/>
      <c r="L52" s="32"/>
      <c r="M52" s="32"/>
    </row>
    <row r="53" spans="2:13">
      <c r="B53" s="46"/>
      <c r="C53" s="46"/>
      <c r="D53" s="46"/>
      <c r="E53" s="46"/>
      <c r="F53" s="46"/>
      <c r="G53" s="46"/>
      <c r="H53" s="32"/>
      <c r="I53" s="32"/>
      <c r="J53" s="32"/>
      <c r="K53" s="32"/>
      <c r="L53" s="32"/>
      <c r="M53" s="32"/>
    </row>
    <row r="54" spans="2:13">
      <c r="B54" s="46"/>
      <c r="C54" s="46"/>
      <c r="D54" s="46"/>
      <c r="E54" s="46"/>
      <c r="F54" s="46"/>
      <c r="G54" s="46"/>
      <c r="H54" s="32"/>
      <c r="I54" s="32"/>
      <c r="J54" s="32"/>
      <c r="K54" s="32"/>
      <c r="L54" s="32"/>
      <c r="M54" s="32"/>
    </row>
    <row r="55" spans="2:13">
      <c r="B55" s="46"/>
      <c r="C55" s="46"/>
      <c r="D55" s="46"/>
      <c r="E55" s="46"/>
      <c r="F55" s="46"/>
      <c r="G55" s="46"/>
      <c r="H55" s="32"/>
      <c r="I55" s="32"/>
      <c r="J55" s="32"/>
      <c r="K55" s="32"/>
      <c r="L55" s="32"/>
      <c r="M55" s="32"/>
    </row>
    <row r="56" spans="2:13">
      <c r="B56" s="46"/>
      <c r="C56" s="46"/>
      <c r="D56" s="46"/>
      <c r="E56" s="46"/>
      <c r="F56" s="46"/>
      <c r="G56" s="46"/>
      <c r="H56" s="32"/>
      <c r="I56" s="32"/>
      <c r="J56" s="32"/>
      <c r="K56" s="32"/>
      <c r="L56" s="32"/>
      <c r="M56" s="32"/>
    </row>
    <row r="57" spans="2:13">
      <c r="B57" s="46"/>
      <c r="C57" s="46"/>
      <c r="D57" s="46"/>
      <c r="E57" s="46"/>
      <c r="F57" s="46"/>
      <c r="G57" s="46"/>
      <c r="H57" s="32"/>
      <c r="I57" s="32"/>
      <c r="J57" s="32"/>
      <c r="K57" s="32"/>
      <c r="L57" s="32"/>
      <c r="M57" s="32"/>
    </row>
    <row r="58" spans="2:13">
      <c r="B58" s="46"/>
      <c r="C58" s="46"/>
      <c r="D58" s="46"/>
      <c r="E58" s="46"/>
      <c r="F58" s="46"/>
      <c r="G58" s="46"/>
      <c r="H58" s="32"/>
      <c r="I58" s="32"/>
      <c r="J58" s="32"/>
      <c r="K58" s="32"/>
      <c r="L58" s="32"/>
      <c r="M58" s="32"/>
    </row>
    <row r="59" spans="2:13">
      <c r="B59" s="46"/>
      <c r="C59" s="46"/>
      <c r="D59" s="46"/>
      <c r="E59" s="46"/>
      <c r="F59" s="46"/>
      <c r="G59" s="46"/>
      <c r="H59" s="32"/>
      <c r="I59" s="32"/>
      <c r="J59" s="32"/>
      <c r="K59" s="32"/>
      <c r="L59" s="32"/>
      <c r="M59" s="32"/>
    </row>
    <row r="60" spans="2:13">
      <c r="B60" s="46"/>
      <c r="C60" s="46"/>
      <c r="D60" s="46"/>
      <c r="E60" s="46"/>
      <c r="F60" s="46"/>
      <c r="G60" s="46"/>
      <c r="H60" s="32"/>
      <c r="I60" s="32"/>
      <c r="J60" s="32"/>
      <c r="K60" s="32"/>
      <c r="L60" s="32"/>
      <c r="M60" s="32"/>
    </row>
    <row r="61" spans="2:13">
      <c r="B61" s="46"/>
      <c r="C61" s="46"/>
      <c r="D61" s="46"/>
      <c r="E61" s="46"/>
      <c r="F61" s="46"/>
      <c r="G61" s="46"/>
      <c r="H61" s="32"/>
      <c r="I61" s="32"/>
      <c r="J61" s="32"/>
      <c r="K61" s="32"/>
      <c r="L61" s="32"/>
      <c r="M61" s="32"/>
    </row>
    <row r="62" spans="2:13">
      <c r="B62" s="46"/>
      <c r="C62" s="46"/>
      <c r="D62" s="46"/>
      <c r="E62" s="46"/>
      <c r="F62" s="46"/>
      <c r="G62" s="46"/>
      <c r="H62" s="32"/>
      <c r="I62" s="32"/>
      <c r="J62" s="32"/>
      <c r="K62" s="32"/>
      <c r="L62" s="32"/>
      <c r="M62" s="32"/>
    </row>
    <row r="63" spans="2:13">
      <c r="B63" s="46"/>
      <c r="C63" s="46"/>
      <c r="D63" s="46"/>
      <c r="E63" s="46"/>
      <c r="F63" s="46"/>
      <c r="G63" s="46"/>
      <c r="H63" s="32"/>
      <c r="I63" s="32"/>
      <c r="J63" s="32"/>
      <c r="K63" s="32"/>
      <c r="L63" s="32"/>
      <c r="M63" s="32"/>
    </row>
    <row r="64" spans="2:13">
      <c r="B64" s="46"/>
      <c r="C64" s="46"/>
      <c r="D64" s="46"/>
      <c r="E64" s="46"/>
      <c r="F64" s="46"/>
      <c r="G64" s="46"/>
      <c r="H64" s="32"/>
      <c r="I64" s="32"/>
      <c r="J64" s="32"/>
      <c r="K64" s="32"/>
      <c r="L64" s="32"/>
      <c r="M64" s="32"/>
    </row>
    <row r="65" spans="2:13">
      <c r="B65" s="46"/>
      <c r="C65" s="46"/>
      <c r="D65" s="46"/>
      <c r="E65" s="46"/>
      <c r="F65" s="46"/>
      <c r="G65" s="46"/>
      <c r="H65" s="32"/>
      <c r="I65" s="32"/>
      <c r="J65" s="32"/>
      <c r="K65" s="32"/>
      <c r="L65" s="32"/>
      <c r="M65" s="3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1C1F5-1A79-4361-920A-8B8DC8F06B10}">
  <dimension ref="A2:M38"/>
  <sheetViews>
    <sheetView workbookViewId="0">
      <selection activeCell="A14" sqref="A14:XFD14"/>
    </sheetView>
  </sheetViews>
  <sheetFormatPr baseColWidth="10" defaultColWidth="8.75" defaultRowHeight="15.75"/>
  <cols>
    <col min="1" max="1" width="8.75" style="23"/>
    <col min="2" max="2" width="16.5" style="23" bestFit="1" customWidth="1"/>
    <col min="3" max="3" width="20.375" style="23" bestFit="1" customWidth="1"/>
    <col min="4" max="4" width="26.625" style="23" bestFit="1" customWidth="1"/>
    <col min="5" max="5" width="12.375" style="23" customWidth="1"/>
    <col min="6" max="6" width="11.25" style="23" customWidth="1"/>
    <col min="7" max="7" width="18.75" style="23" bestFit="1" customWidth="1"/>
    <col min="8" max="8" width="14.25" style="23" customWidth="1"/>
    <col min="9" max="9" width="20.125" style="23" customWidth="1"/>
    <col min="10" max="10" width="17.625" style="23" customWidth="1"/>
    <col min="11" max="11" width="12.875" style="23" customWidth="1"/>
    <col min="12" max="12" width="22.625" style="23" bestFit="1" customWidth="1"/>
    <col min="13" max="13" width="22.5" style="23" bestFit="1" customWidth="1"/>
    <col min="14" max="16384" width="8.75" style="23"/>
  </cols>
  <sheetData>
    <row r="2" spans="1:13" s="55" customFormat="1">
      <c r="B2" s="21" t="s">
        <v>138</v>
      </c>
      <c r="C2" s="21" t="s">
        <v>137</v>
      </c>
      <c r="D2" s="21" t="s">
        <v>139</v>
      </c>
      <c r="E2" s="21" t="s">
        <v>140</v>
      </c>
      <c r="F2" s="21" t="s">
        <v>141</v>
      </c>
      <c r="G2" s="41" t="s">
        <v>142</v>
      </c>
      <c r="H2" s="41" t="s">
        <v>143</v>
      </c>
      <c r="I2" s="41" t="s">
        <v>144</v>
      </c>
      <c r="J2" s="41" t="s">
        <v>145</v>
      </c>
      <c r="K2" s="41" t="s">
        <v>118</v>
      </c>
      <c r="L2" s="21" t="s">
        <v>146</v>
      </c>
      <c r="M2" s="22" t="s">
        <v>82</v>
      </c>
    </row>
    <row r="3" spans="1:13">
      <c r="A3" s="23" t="s">
        <v>314</v>
      </c>
      <c r="B3" s="35">
        <v>78953064</v>
      </c>
      <c r="C3" s="35" t="s">
        <v>148</v>
      </c>
      <c r="D3" s="35" t="s">
        <v>49</v>
      </c>
      <c r="E3" s="36">
        <v>45821</v>
      </c>
      <c r="F3" s="36">
        <v>45823</v>
      </c>
      <c r="G3" s="77" t="s">
        <v>159</v>
      </c>
      <c r="H3" s="29" t="s">
        <v>130</v>
      </c>
      <c r="I3" s="51">
        <v>364</v>
      </c>
      <c r="J3" s="51">
        <v>307.98</v>
      </c>
      <c r="K3" s="50">
        <f t="shared" ref="K3:K14" si="0">I3/J3</f>
        <v>1.1818949282420936</v>
      </c>
      <c r="L3" s="35" t="s">
        <v>160</v>
      </c>
      <c r="M3" s="15"/>
    </row>
    <row r="4" spans="1:13">
      <c r="A4" s="23" t="s">
        <v>314</v>
      </c>
      <c r="B4" s="15">
        <v>78953501</v>
      </c>
      <c r="C4" s="15" t="s">
        <v>186</v>
      </c>
      <c r="D4" s="15" t="s">
        <v>216</v>
      </c>
      <c r="E4" s="36">
        <v>45821</v>
      </c>
      <c r="F4" s="36">
        <v>45822</v>
      </c>
      <c r="G4" s="31">
        <v>197514</v>
      </c>
      <c r="H4" s="29" t="s">
        <v>189</v>
      </c>
      <c r="I4" s="51">
        <v>184</v>
      </c>
      <c r="J4" s="51">
        <v>157.5</v>
      </c>
      <c r="K4" s="50">
        <f t="shared" si="0"/>
        <v>1.1682539682539683</v>
      </c>
      <c r="L4" s="35" t="s">
        <v>188</v>
      </c>
      <c r="M4" s="15"/>
    </row>
    <row r="5" spans="1:13">
      <c r="A5" s="23" t="s">
        <v>314</v>
      </c>
      <c r="B5" s="15">
        <v>78952917</v>
      </c>
      <c r="C5" s="15" t="s">
        <v>171</v>
      </c>
      <c r="D5" s="28" t="s">
        <v>83</v>
      </c>
      <c r="E5" s="36">
        <v>45824</v>
      </c>
      <c r="F5" s="36">
        <v>45826</v>
      </c>
      <c r="G5" s="15" t="s">
        <v>135</v>
      </c>
      <c r="H5" s="29" t="s">
        <v>129</v>
      </c>
      <c r="I5" s="51">
        <v>168</v>
      </c>
      <c r="J5" s="51">
        <v>160</v>
      </c>
      <c r="K5" s="50">
        <f t="shared" si="0"/>
        <v>1.05</v>
      </c>
      <c r="L5" s="28" t="s">
        <v>73</v>
      </c>
      <c r="M5" s="15"/>
    </row>
    <row r="6" spans="1:13">
      <c r="A6" s="23" t="s">
        <v>314</v>
      </c>
      <c r="B6" s="15">
        <v>78952913</v>
      </c>
      <c r="C6" s="15" t="s">
        <v>172</v>
      </c>
      <c r="D6" s="28" t="s">
        <v>83</v>
      </c>
      <c r="E6" s="36">
        <v>45824</v>
      </c>
      <c r="F6" s="36">
        <v>45826</v>
      </c>
      <c r="G6" s="15" t="s">
        <v>134</v>
      </c>
      <c r="H6" s="29" t="s">
        <v>129</v>
      </c>
      <c r="I6" s="51">
        <v>168</v>
      </c>
      <c r="J6" s="51">
        <v>160</v>
      </c>
      <c r="K6" s="50">
        <f t="shared" si="0"/>
        <v>1.05</v>
      </c>
      <c r="L6" s="28" t="s">
        <v>73</v>
      </c>
      <c r="M6" s="15"/>
    </row>
    <row r="7" spans="1:13">
      <c r="A7" s="23" t="s">
        <v>314</v>
      </c>
      <c r="B7" s="15">
        <v>78952920</v>
      </c>
      <c r="C7" s="15" t="s">
        <v>173</v>
      </c>
      <c r="D7" s="28" t="s">
        <v>83</v>
      </c>
      <c r="E7" s="36">
        <v>45824</v>
      </c>
      <c r="F7" s="36">
        <v>45826</v>
      </c>
      <c r="G7" s="15" t="s">
        <v>133</v>
      </c>
      <c r="H7" s="29" t="s">
        <v>130</v>
      </c>
      <c r="I7" s="51">
        <v>168</v>
      </c>
      <c r="J7" s="51">
        <v>160</v>
      </c>
      <c r="K7" s="50">
        <f t="shared" si="0"/>
        <v>1.05</v>
      </c>
      <c r="L7" s="28" t="s">
        <v>73</v>
      </c>
      <c r="M7" s="15"/>
    </row>
    <row r="8" spans="1:13" s="26" customFormat="1">
      <c r="B8" s="17">
        <v>78951634</v>
      </c>
      <c r="C8" s="17" t="s">
        <v>29</v>
      </c>
      <c r="D8" s="17" t="s">
        <v>31</v>
      </c>
      <c r="E8" s="24">
        <v>45824</v>
      </c>
      <c r="F8" s="24">
        <v>45825</v>
      </c>
      <c r="G8" s="17" t="s">
        <v>128</v>
      </c>
      <c r="H8" s="17"/>
      <c r="I8" s="58">
        <v>0</v>
      </c>
      <c r="J8" s="58">
        <v>0</v>
      </c>
      <c r="K8" s="59" t="e">
        <f t="shared" si="0"/>
        <v>#DIV/0!</v>
      </c>
      <c r="L8" s="17"/>
      <c r="M8" s="17"/>
    </row>
    <row r="9" spans="1:13" s="31" customFormat="1">
      <c r="A9" s="31" t="s">
        <v>314</v>
      </c>
      <c r="B9" s="28">
        <v>78953748</v>
      </c>
      <c r="C9" s="15" t="s">
        <v>202</v>
      </c>
      <c r="D9" s="28" t="s">
        <v>201</v>
      </c>
      <c r="E9" s="44">
        <v>45468</v>
      </c>
      <c r="F9" s="44">
        <v>45379</v>
      </c>
      <c r="G9" s="45">
        <v>163286</v>
      </c>
      <c r="H9" s="72" t="s">
        <v>194</v>
      </c>
      <c r="I9" s="51">
        <v>252</v>
      </c>
      <c r="J9" s="51">
        <v>239.4</v>
      </c>
      <c r="K9" s="75">
        <f t="shared" si="0"/>
        <v>1.0526315789473684</v>
      </c>
      <c r="L9" s="35" t="s">
        <v>188</v>
      </c>
      <c r="M9" s="28" t="s">
        <v>200</v>
      </c>
    </row>
    <row r="10" spans="1:13">
      <c r="A10" s="23" t="s">
        <v>314</v>
      </c>
      <c r="B10" s="15">
        <v>78953618</v>
      </c>
      <c r="C10" s="15" t="s">
        <v>192</v>
      </c>
      <c r="D10" s="15" t="s">
        <v>216</v>
      </c>
      <c r="E10" s="15" t="s">
        <v>193</v>
      </c>
      <c r="F10" s="73">
        <v>45836</v>
      </c>
      <c r="G10" s="29">
        <v>198580</v>
      </c>
      <c r="H10" s="72" t="s">
        <v>194</v>
      </c>
      <c r="I10" s="74">
        <v>182</v>
      </c>
      <c r="J10" s="74">
        <v>154</v>
      </c>
      <c r="K10" s="75">
        <f t="shared" si="0"/>
        <v>1.1818181818181819</v>
      </c>
      <c r="L10" s="76" t="s">
        <v>188</v>
      </c>
      <c r="M10" s="15"/>
    </row>
    <row r="11" spans="1:13">
      <c r="A11" s="23" t="s">
        <v>314</v>
      </c>
      <c r="B11" s="15">
        <v>78953711</v>
      </c>
      <c r="C11" s="15" t="s">
        <v>196</v>
      </c>
      <c r="D11" s="15" t="s">
        <v>195</v>
      </c>
      <c r="E11" s="27">
        <v>45835</v>
      </c>
      <c r="F11" s="27">
        <v>45837</v>
      </c>
      <c r="G11" s="29">
        <v>358862</v>
      </c>
      <c r="H11" s="15" t="s">
        <v>194</v>
      </c>
      <c r="I11" s="51">
        <v>184</v>
      </c>
      <c r="J11" s="51">
        <v>145.6</v>
      </c>
      <c r="K11" s="50">
        <f t="shared" si="0"/>
        <v>1.2637362637362637</v>
      </c>
      <c r="L11" s="35" t="s">
        <v>188</v>
      </c>
      <c r="M11" s="28"/>
    </row>
    <row r="12" spans="1:13">
      <c r="A12" s="23" t="s">
        <v>314</v>
      </c>
      <c r="B12" s="15">
        <v>78953800</v>
      </c>
      <c r="C12" s="15" t="s">
        <v>215</v>
      </c>
      <c r="D12" s="15" t="s">
        <v>223</v>
      </c>
      <c r="E12" s="27">
        <v>45835</v>
      </c>
      <c r="F12" s="27">
        <v>45837</v>
      </c>
      <c r="G12" s="123" t="s">
        <v>241</v>
      </c>
      <c r="H12" s="15" t="s">
        <v>194</v>
      </c>
      <c r="I12" s="51">
        <v>232</v>
      </c>
      <c r="J12" s="51">
        <v>221</v>
      </c>
      <c r="K12" s="50">
        <f t="shared" si="0"/>
        <v>1.0497737556561086</v>
      </c>
      <c r="L12" s="35" t="s">
        <v>188</v>
      </c>
      <c r="M12" s="28" t="s">
        <v>200</v>
      </c>
    </row>
    <row r="13" spans="1:13">
      <c r="A13" s="23" t="s">
        <v>314</v>
      </c>
      <c r="B13" s="15">
        <v>78953911</v>
      </c>
      <c r="C13" s="54" t="s">
        <v>258</v>
      </c>
      <c r="D13" s="15" t="s">
        <v>216</v>
      </c>
      <c r="E13" s="27">
        <v>45836</v>
      </c>
      <c r="F13" s="27">
        <v>45838</v>
      </c>
      <c r="G13" s="20" t="s">
        <v>263</v>
      </c>
      <c r="H13" s="15" t="s">
        <v>194</v>
      </c>
      <c r="I13" s="108">
        <v>324</v>
      </c>
      <c r="J13" s="51">
        <v>308</v>
      </c>
      <c r="K13" s="50">
        <f t="shared" si="0"/>
        <v>1.051948051948052</v>
      </c>
      <c r="L13" s="35" t="s">
        <v>248</v>
      </c>
      <c r="M13" s="28" t="s">
        <v>200</v>
      </c>
    </row>
    <row r="14" spans="1:13">
      <c r="A14" s="23" t="s">
        <v>314</v>
      </c>
      <c r="B14" s="15">
        <v>78953855</v>
      </c>
      <c r="C14" s="15" t="s">
        <v>237</v>
      </c>
      <c r="D14" s="15" t="s">
        <v>238</v>
      </c>
      <c r="E14" s="27">
        <v>45837</v>
      </c>
      <c r="F14" s="27">
        <v>45840</v>
      </c>
      <c r="G14" s="40" t="s">
        <v>242</v>
      </c>
      <c r="H14" s="15" t="s">
        <v>194</v>
      </c>
      <c r="I14" s="108">
        <v>246</v>
      </c>
      <c r="J14" s="51">
        <v>234</v>
      </c>
      <c r="K14" s="50">
        <f t="shared" si="0"/>
        <v>1.0512820512820513</v>
      </c>
      <c r="L14" s="35" t="s">
        <v>222</v>
      </c>
      <c r="M14" s="15" t="s">
        <v>270</v>
      </c>
    </row>
    <row r="15" spans="1:13">
      <c r="B15" s="15"/>
      <c r="C15" s="15"/>
      <c r="D15" s="15"/>
      <c r="E15" s="27"/>
      <c r="F15" s="27"/>
      <c r="G15" s="15"/>
      <c r="H15" s="15"/>
      <c r="I15" s="108"/>
      <c r="J15" s="115"/>
      <c r="K15" s="116"/>
      <c r="L15" s="35"/>
      <c r="M15" s="28"/>
    </row>
    <row r="16" spans="1:13">
      <c r="B16" s="15"/>
      <c r="C16" s="15"/>
      <c r="D16" s="15"/>
      <c r="E16" s="27"/>
      <c r="F16" s="27"/>
      <c r="G16" s="15"/>
      <c r="H16" s="15"/>
      <c r="I16" s="108"/>
      <c r="J16" s="115"/>
      <c r="K16" s="116"/>
      <c r="L16" s="35"/>
      <c r="M16" s="28"/>
    </row>
    <row r="17" spans="2:13">
      <c r="B17" s="15"/>
      <c r="C17" s="15"/>
      <c r="D17" s="15"/>
      <c r="E17" s="27"/>
      <c r="F17" s="27"/>
      <c r="G17" s="15"/>
      <c r="H17" s="15"/>
      <c r="I17" s="108"/>
      <c r="J17" s="115"/>
      <c r="K17" s="116"/>
      <c r="L17" s="35"/>
      <c r="M17" s="28"/>
    </row>
    <row r="18" spans="2:13">
      <c r="B18" s="15"/>
      <c r="C18" s="15"/>
      <c r="D18" s="15"/>
      <c r="E18" s="27"/>
      <c r="F18" s="27"/>
      <c r="G18" s="15"/>
      <c r="H18" s="15"/>
      <c r="I18" s="108"/>
      <c r="J18" s="115"/>
      <c r="K18" s="116"/>
      <c r="L18" s="35"/>
      <c r="M18" s="28"/>
    </row>
    <row r="19" spans="2:13">
      <c r="B19" s="15"/>
      <c r="C19" s="15"/>
      <c r="D19" s="15"/>
      <c r="E19" s="27"/>
      <c r="F19" s="27"/>
      <c r="G19" s="15"/>
      <c r="H19" s="15"/>
      <c r="I19" s="108"/>
      <c r="J19" s="115"/>
      <c r="K19" s="116"/>
      <c r="L19" s="35"/>
      <c r="M19" s="28"/>
    </row>
    <row r="20" spans="2:13">
      <c r="B20" s="15"/>
      <c r="C20" s="15"/>
      <c r="D20" s="15"/>
      <c r="E20" s="27"/>
      <c r="F20" s="27"/>
      <c r="G20" s="15"/>
      <c r="H20" s="15"/>
      <c r="I20" s="108"/>
      <c r="J20" s="115"/>
      <c r="K20" s="116"/>
      <c r="L20" s="35"/>
      <c r="M20" s="28"/>
    </row>
    <row r="21" spans="2:13" ht="16.5" thickBot="1">
      <c r="B21" s="15"/>
      <c r="C21" s="15"/>
      <c r="D21" s="15"/>
      <c r="E21" s="15"/>
      <c r="F21" s="15"/>
      <c r="G21" s="15"/>
      <c r="H21" s="15"/>
      <c r="I21" s="108"/>
      <c r="J21" s="115"/>
      <c r="K21" s="116"/>
      <c r="L21" s="15"/>
      <c r="M21" s="15"/>
    </row>
    <row r="22" spans="2:13">
      <c r="B22" s="15"/>
      <c r="C22" s="15"/>
      <c r="D22" s="15"/>
      <c r="E22" s="15"/>
      <c r="F22" s="15"/>
      <c r="G22" s="15"/>
      <c r="H22" s="94"/>
      <c r="I22" s="110">
        <f>SUM(I3:I21)</f>
        <v>2472</v>
      </c>
      <c r="J22" s="98">
        <f>SUM(J3:J21)</f>
        <v>2247.48</v>
      </c>
      <c r="K22" s="99">
        <f t="shared" ref="K22" si="1">I22/J22</f>
        <v>1.0998985530460783</v>
      </c>
      <c r="L22" s="95"/>
      <c r="M22" s="15"/>
    </row>
    <row r="23" spans="2:13">
      <c r="B23" s="15"/>
      <c r="C23" s="15"/>
      <c r="D23" s="15"/>
      <c r="E23" s="15"/>
      <c r="F23" s="15"/>
      <c r="G23" s="15"/>
      <c r="H23" s="94"/>
      <c r="I23" s="112"/>
      <c r="J23" s="101"/>
      <c r="K23" s="117"/>
      <c r="L23" s="95"/>
      <c r="M23" s="15"/>
    </row>
    <row r="24" spans="2:13" ht="16.5" thickBot="1">
      <c r="B24" s="15"/>
      <c r="C24" s="15"/>
      <c r="D24" s="15"/>
      <c r="E24" s="15"/>
      <c r="F24" s="15"/>
      <c r="G24" s="15"/>
      <c r="H24" s="94"/>
      <c r="I24" s="103" t="s">
        <v>131</v>
      </c>
      <c r="J24" s="104">
        <f>I22-J22</f>
        <v>224.51999999999998</v>
      </c>
      <c r="K24" s="118"/>
      <c r="L24" s="95"/>
      <c r="M24" s="15"/>
    </row>
    <row r="25" spans="2:13">
      <c r="B25" s="15"/>
      <c r="C25" s="15"/>
      <c r="D25" s="15"/>
      <c r="E25" s="15"/>
      <c r="F25" s="15"/>
      <c r="G25" s="15"/>
      <c r="H25" s="15"/>
      <c r="I25" s="74"/>
      <c r="J25" s="72"/>
      <c r="K25" s="75"/>
      <c r="L25" s="15"/>
      <c r="M25" s="15"/>
    </row>
    <row r="26" spans="2:13">
      <c r="B26" s="15"/>
      <c r="C26" s="15"/>
      <c r="D26" s="15"/>
      <c r="E26" s="15"/>
      <c r="F26" s="15"/>
      <c r="G26" s="15"/>
      <c r="H26" s="15"/>
      <c r="I26" s="51"/>
      <c r="J26" s="15"/>
      <c r="K26" s="50"/>
      <c r="L26" s="15"/>
      <c r="M26" s="15"/>
    </row>
    <row r="27" spans="2:13">
      <c r="B27" s="15"/>
      <c r="C27" s="15"/>
      <c r="D27" s="15"/>
      <c r="E27" s="15"/>
      <c r="F27" s="15"/>
      <c r="G27" s="15"/>
      <c r="H27" s="15"/>
      <c r="I27" s="51"/>
      <c r="J27" s="15"/>
      <c r="K27" s="50"/>
      <c r="L27" s="15"/>
      <c r="M27" s="15"/>
    </row>
    <row r="28" spans="2:13"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</row>
    <row r="29" spans="2:13"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</row>
    <row r="30" spans="2:13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</row>
    <row r="31" spans="2:13"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</row>
    <row r="32" spans="2:13"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</row>
    <row r="33" spans="2:13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</row>
    <row r="34" spans="2:13"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</row>
    <row r="35" spans="2:1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</row>
    <row r="36" spans="2:13"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</row>
    <row r="37" spans="2:13"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</row>
    <row r="38" spans="2:13"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F49D6-B9D4-45A8-9DA1-D9D9B78A2530}">
  <dimension ref="A2:M49"/>
  <sheetViews>
    <sheetView workbookViewId="0">
      <selection activeCell="A2" sqref="A2"/>
    </sheetView>
  </sheetViews>
  <sheetFormatPr baseColWidth="10" defaultColWidth="8.75" defaultRowHeight="15.75"/>
  <cols>
    <col min="1" max="1" width="8.75" style="23"/>
    <col min="2" max="2" width="18.375" style="23" bestFit="1" customWidth="1"/>
    <col min="3" max="3" width="31.75" style="23" bestFit="1" customWidth="1"/>
    <col min="4" max="4" width="29.75" style="23" customWidth="1"/>
    <col min="5" max="5" width="10.875" style="23" bestFit="1" customWidth="1"/>
    <col min="6" max="6" width="11.625" style="23" bestFit="1" customWidth="1"/>
    <col min="7" max="7" width="18.875" style="23" bestFit="1" customWidth="1"/>
    <col min="8" max="8" width="20" style="23" bestFit="1" customWidth="1"/>
    <col min="9" max="9" width="20.5" style="23" customWidth="1"/>
    <col min="10" max="10" width="14.75" style="23" customWidth="1"/>
    <col min="11" max="11" width="11.125" style="23" customWidth="1"/>
    <col min="12" max="12" width="22.625" style="23" bestFit="1" customWidth="1"/>
    <col min="13" max="13" width="39.625" style="23" bestFit="1" customWidth="1"/>
    <col min="14" max="16384" width="8.75" style="23"/>
  </cols>
  <sheetData>
    <row r="2" spans="1:13" s="55" customFormat="1">
      <c r="B2" s="21" t="s">
        <v>138</v>
      </c>
      <c r="C2" s="21" t="s">
        <v>137</v>
      </c>
      <c r="D2" s="21" t="s">
        <v>139</v>
      </c>
      <c r="E2" s="21" t="s">
        <v>140</v>
      </c>
      <c r="F2" s="21" t="s">
        <v>141</v>
      </c>
      <c r="G2" s="41" t="s">
        <v>142</v>
      </c>
      <c r="H2" s="41" t="s">
        <v>143</v>
      </c>
      <c r="I2" s="41" t="s">
        <v>144</v>
      </c>
      <c r="J2" s="41" t="s">
        <v>145</v>
      </c>
      <c r="K2" s="41" t="s">
        <v>118</v>
      </c>
      <c r="L2" s="21" t="s">
        <v>146</v>
      </c>
      <c r="M2" s="22" t="s">
        <v>82</v>
      </c>
    </row>
    <row r="3" spans="1:13">
      <c r="A3" s="23" t="s">
        <v>314</v>
      </c>
      <c r="B3" s="35">
        <v>78953873</v>
      </c>
      <c r="C3" s="95" t="s">
        <v>306</v>
      </c>
      <c r="D3" s="35" t="s">
        <v>221</v>
      </c>
      <c r="E3" s="36">
        <v>45839</v>
      </c>
      <c r="F3" s="36">
        <v>45843</v>
      </c>
      <c r="G3" s="29" t="s">
        <v>264</v>
      </c>
      <c r="H3" s="29" t="s">
        <v>250</v>
      </c>
      <c r="I3" s="51">
        <v>1632.4</v>
      </c>
      <c r="J3" s="51">
        <v>1644</v>
      </c>
      <c r="K3" s="50">
        <f t="shared" ref="K3:K4" si="0">I3/J3</f>
        <v>0.9929440389294405</v>
      </c>
      <c r="L3" s="29" t="s">
        <v>188</v>
      </c>
      <c r="M3" s="120" t="s">
        <v>316</v>
      </c>
    </row>
    <row r="4" spans="1:13" s="26" customFormat="1">
      <c r="B4" s="43">
        <v>78953879</v>
      </c>
      <c r="C4" s="57" t="s">
        <v>252</v>
      </c>
      <c r="D4" s="43" t="s">
        <v>221</v>
      </c>
      <c r="E4" s="125">
        <v>45840</v>
      </c>
      <c r="F4" s="125">
        <v>45844</v>
      </c>
      <c r="G4" s="43" t="s">
        <v>14</v>
      </c>
      <c r="H4" s="43" t="s">
        <v>151</v>
      </c>
      <c r="I4" s="58">
        <v>0</v>
      </c>
      <c r="J4" s="58">
        <v>0</v>
      </c>
      <c r="K4" s="59" t="e">
        <f t="shared" si="0"/>
        <v>#DIV/0!</v>
      </c>
      <c r="L4" s="43" t="s">
        <v>188</v>
      </c>
      <c r="M4" s="17" t="s">
        <v>200</v>
      </c>
    </row>
    <row r="5" spans="1:13" s="31" customFormat="1">
      <c r="A5" s="31" t="s">
        <v>314</v>
      </c>
      <c r="B5" s="15">
        <v>78953885</v>
      </c>
      <c r="C5" s="107" t="s">
        <v>252</v>
      </c>
      <c r="D5" s="29" t="s">
        <v>221</v>
      </c>
      <c r="E5" s="30">
        <v>45842</v>
      </c>
      <c r="F5" s="30">
        <v>45846</v>
      </c>
      <c r="G5" s="31" t="s">
        <v>283</v>
      </c>
      <c r="H5" s="29" t="s">
        <v>272</v>
      </c>
      <c r="I5" s="51">
        <v>848</v>
      </c>
      <c r="J5" s="51">
        <v>960</v>
      </c>
      <c r="K5" s="50">
        <f t="shared" ref="K5:K6" si="1">I5/J5</f>
        <v>0.8833333333333333</v>
      </c>
      <c r="L5" s="29" t="s">
        <v>188</v>
      </c>
      <c r="M5" s="120" t="s">
        <v>273</v>
      </c>
    </row>
    <row r="6" spans="1:13" s="31" customFormat="1">
      <c r="A6" s="31" t="s">
        <v>314</v>
      </c>
      <c r="B6" s="15">
        <v>78953922</v>
      </c>
      <c r="C6" s="95" t="s">
        <v>259</v>
      </c>
      <c r="D6" s="29" t="s">
        <v>221</v>
      </c>
      <c r="E6" s="30">
        <v>45842</v>
      </c>
      <c r="F6" s="30">
        <v>45848</v>
      </c>
      <c r="G6" s="29" t="s">
        <v>266</v>
      </c>
      <c r="H6" s="35" t="s">
        <v>225</v>
      </c>
      <c r="I6" s="51">
        <v>1077.3</v>
      </c>
      <c r="J6" s="51">
        <v>444.6</v>
      </c>
      <c r="K6" s="50">
        <f t="shared" si="1"/>
        <v>2.4230769230769229</v>
      </c>
      <c r="L6" s="29" t="s">
        <v>188</v>
      </c>
      <c r="M6" s="120" t="s">
        <v>317</v>
      </c>
    </row>
    <row r="7" spans="1:13" s="26" customFormat="1">
      <c r="B7" s="17">
        <v>78953847</v>
      </c>
      <c r="C7" s="57" t="s">
        <v>234</v>
      </c>
      <c r="D7" s="43" t="s">
        <v>221</v>
      </c>
      <c r="E7" s="125">
        <v>45842</v>
      </c>
      <c r="F7" s="125">
        <v>45848</v>
      </c>
      <c r="G7" s="43" t="s">
        <v>14</v>
      </c>
      <c r="H7" s="43" t="s">
        <v>225</v>
      </c>
      <c r="I7" s="58">
        <v>0</v>
      </c>
      <c r="J7" s="58">
        <v>0</v>
      </c>
      <c r="K7" s="59" t="e">
        <f t="shared" ref="K7:K8" si="2">I7/J7</f>
        <v>#DIV/0!</v>
      </c>
      <c r="L7" s="43" t="s">
        <v>188</v>
      </c>
      <c r="M7" s="17" t="s">
        <v>200</v>
      </c>
    </row>
    <row r="8" spans="1:13">
      <c r="A8" s="23" t="s">
        <v>314</v>
      </c>
      <c r="B8" s="15">
        <v>78953877</v>
      </c>
      <c r="C8" s="95" t="s">
        <v>251</v>
      </c>
      <c r="D8" s="35" t="s">
        <v>221</v>
      </c>
      <c r="E8" s="36">
        <v>45845</v>
      </c>
      <c r="F8" s="36">
        <v>45849</v>
      </c>
      <c r="G8" s="45" t="s">
        <v>284</v>
      </c>
      <c r="H8" s="29" t="s">
        <v>151</v>
      </c>
      <c r="I8" s="51">
        <v>848</v>
      </c>
      <c r="J8" s="51">
        <v>960</v>
      </c>
      <c r="K8" s="50">
        <f t="shared" si="2"/>
        <v>0.8833333333333333</v>
      </c>
      <c r="L8" s="29" t="s">
        <v>188</v>
      </c>
      <c r="M8" s="28" t="s">
        <v>273</v>
      </c>
    </row>
    <row r="9" spans="1:13" s="26" customFormat="1">
      <c r="B9" s="17">
        <v>78953762</v>
      </c>
      <c r="C9" s="57" t="s">
        <v>206</v>
      </c>
      <c r="D9" s="17" t="s">
        <v>187</v>
      </c>
      <c r="E9" s="24">
        <v>45846</v>
      </c>
      <c r="F9" s="24">
        <v>45853</v>
      </c>
      <c r="G9" s="37" t="s">
        <v>235</v>
      </c>
      <c r="H9" s="17" t="s">
        <v>122</v>
      </c>
      <c r="I9" s="58">
        <v>0</v>
      </c>
      <c r="J9" s="58">
        <v>0</v>
      </c>
      <c r="K9" s="59" t="e">
        <f t="shared" ref="K9:K13" si="3">I9/J9</f>
        <v>#DIV/0!</v>
      </c>
      <c r="L9" s="43" t="s">
        <v>188</v>
      </c>
      <c r="M9" s="17" t="s">
        <v>200</v>
      </c>
    </row>
    <row r="10" spans="1:13" s="26" customFormat="1">
      <c r="B10" s="17">
        <v>78953757</v>
      </c>
      <c r="C10" s="57" t="s">
        <v>205</v>
      </c>
      <c r="D10" s="17" t="s">
        <v>187</v>
      </c>
      <c r="E10" s="24">
        <v>45846</v>
      </c>
      <c r="F10" s="24">
        <v>45853</v>
      </c>
      <c r="G10" s="25" t="s">
        <v>14</v>
      </c>
      <c r="H10" s="17" t="s">
        <v>122</v>
      </c>
      <c r="I10" s="58">
        <v>0</v>
      </c>
      <c r="J10" s="58">
        <v>0</v>
      </c>
      <c r="K10" s="59" t="e">
        <f t="shared" si="3"/>
        <v>#DIV/0!</v>
      </c>
      <c r="L10" s="43" t="s">
        <v>188</v>
      </c>
      <c r="M10" s="17" t="s">
        <v>200</v>
      </c>
    </row>
    <row r="11" spans="1:13" s="31" customFormat="1">
      <c r="A11" s="31" t="s">
        <v>314</v>
      </c>
      <c r="B11" s="28">
        <v>78953889</v>
      </c>
      <c r="C11" s="107" t="s">
        <v>257</v>
      </c>
      <c r="D11" s="28" t="s">
        <v>166</v>
      </c>
      <c r="E11" s="44">
        <v>45849</v>
      </c>
      <c r="F11" s="44">
        <v>45850</v>
      </c>
      <c r="G11" s="28" t="s">
        <v>269</v>
      </c>
      <c r="H11" s="28" t="s">
        <v>194</v>
      </c>
      <c r="I11" s="51">
        <v>76</v>
      </c>
      <c r="J11" s="51">
        <v>72.8</v>
      </c>
      <c r="K11" s="50">
        <f t="shared" si="3"/>
        <v>1.043956043956044</v>
      </c>
      <c r="L11" s="29" t="s">
        <v>188</v>
      </c>
      <c r="M11" s="15" t="s">
        <v>200</v>
      </c>
    </row>
    <row r="12" spans="1:13" s="31" customFormat="1">
      <c r="A12" s="31" t="s">
        <v>314</v>
      </c>
      <c r="B12" s="15">
        <v>78954172</v>
      </c>
      <c r="C12" s="23" t="s">
        <v>310</v>
      </c>
      <c r="D12" s="28" t="s">
        <v>304</v>
      </c>
      <c r="E12" s="44">
        <v>45849</v>
      </c>
      <c r="F12" s="44">
        <v>45851</v>
      </c>
      <c r="G12" s="16" t="s">
        <v>325</v>
      </c>
      <c r="H12" s="28" t="s">
        <v>194</v>
      </c>
      <c r="I12" s="51">
        <v>288</v>
      </c>
      <c r="J12" s="51">
        <v>286</v>
      </c>
      <c r="K12" s="50">
        <f t="shared" si="3"/>
        <v>1.0069930069930071</v>
      </c>
      <c r="L12" s="28" t="s">
        <v>276</v>
      </c>
      <c r="M12" s="28" t="s">
        <v>345</v>
      </c>
    </row>
    <row r="13" spans="1:13" s="26" customFormat="1">
      <c r="B13" s="17">
        <v>78953768</v>
      </c>
      <c r="C13" s="57" t="s">
        <v>207</v>
      </c>
      <c r="D13" s="17" t="s">
        <v>208</v>
      </c>
      <c r="E13" s="24">
        <v>45850</v>
      </c>
      <c r="F13" s="24">
        <v>45857</v>
      </c>
      <c r="G13" s="25" t="s">
        <v>14</v>
      </c>
      <c r="H13" s="17" t="s">
        <v>122</v>
      </c>
      <c r="I13" s="58">
        <v>0</v>
      </c>
      <c r="J13" s="58">
        <v>0</v>
      </c>
      <c r="K13" s="59" t="e">
        <f t="shared" si="3"/>
        <v>#DIV/0!</v>
      </c>
      <c r="L13" s="43" t="s">
        <v>188</v>
      </c>
      <c r="M13" s="17" t="s">
        <v>200</v>
      </c>
    </row>
    <row r="14" spans="1:13">
      <c r="A14" s="23" t="s">
        <v>314</v>
      </c>
      <c r="B14" s="15">
        <v>78953215</v>
      </c>
      <c r="C14" s="95" t="s">
        <v>155</v>
      </c>
      <c r="D14" s="15" t="s">
        <v>154</v>
      </c>
      <c r="E14" s="27">
        <v>45852</v>
      </c>
      <c r="F14" s="27">
        <v>45853</v>
      </c>
      <c r="G14" s="16">
        <v>119718</v>
      </c>
      <c r="H14" s="15" t="s">
        <v>151</v>
      </c>
      <c r="I14" s="51">
        <v>166</v>
      </c>
      <c r="J14" s="51">
        <v>164</v>
      </c>
      <c r="K14" s="50">
        <f t="shared" ref="K14:K31" si="4">I14/J14</f>
        <v>1.0121951219512195</v>
      </c>
      <c r="L14" s="28" t="s">
        <v>123</v>
      </c>
      <c r="M14" s="15"/>
    </row>
    <row r="15" spans="1:13">
      <c r="A15" s="23" t="s">
        <v>314</v>
      </c>
      <c r="B15" s="15">
        <v>78953858</v>
      </c>
      <c r="C15" s="15" t="s">
        <v>243</v>
      </c>
      <c r="D15" s="15" t="s">
        <v>216</v>
      </c>
      <c r="E15" s="27">
        <v>45852</v>
      </c>
      <c r="F15" s="27">
        <v>45859</v>
      </c>
      <c r="G15" s="28">
        <v>200627</v>
      </c>
      <c r="H15" s="15" t="s">
        <v>89</v>
      </c>
      <c r="I15" s="51">
        <v>1134</v>
      </c>
      <c r="J15" s="51">
        <v>1078</v>
      </c>
      <c r="K15" s="50">
        <f t="shared" si="4"/>
        <v>1.051948051948052</v>
      </c>
      <c r="L15" s="29" t="s">
        <v>188</v>
      </c>
      <c r="M15" s="15" t="s">
        <v>200</v>
      </c>
    </row>
    <row r="16" spans="1:13" ht="31.5">
      <c r="A16" s="23" t="s">
        <v>314</v>
      </c>
      <c r="B16" s="15">
        <v>78954267</v>
      </c>
      <c r="C16" s="15" t="s">
        <v>319</v>
      </c>
      <c r="D16" s="28" t="s">
        <v>293</v>
      </c>
      <c r="E16" s="27">
        <v>45852</v>
      </c>
      <c r="F16" s="27">
        <v>45854</v>
      </c>
      <c r="G16" s="29">
        <v>710451</v>
      </c>
      <c r="H16" s="28" t="s">
        <v>321</v>
      </c>
      <c r="I16" s="51">
        <v>202</v>
      </c>
      <c r="J16" s="51">
        <v>144</v>
      </c>
      <c r="K16" s="50">
        <f t="shared" si="4"/>
        <v>1.4027777777777777</v>
      </c>
      <c r="L16" s="29" t="s">
        <v>188</v>
      </c>
      <c r="M16" s="119" t="s">
        <v>318</v>
      </c>
    </row>
    <row r="17" spans="1:13" ht="31.5">
      <c r="A17" s="23" t="s">
        <v>314</v>
      </c>
      <c r="B17" s="15">
        <v>78954267</v>
      </c>
      <c r="C17" s="15" t="s">
        <v>320</v>
      </c>
      <c r="D17" s="28" t="s">
        <v>293</v>
      </c>
      <c r="E17" s="27">
        <v>45852</v>
      </c>
      <c r="F17" s="27">
        <v>45854</v>
      </c>
      <c r="G17" s="29">
        <v>710451</v>
      </c>
      <c r="H17" s="28" t="s">
        <v>164</v>
      </c>
      <c r="I17" s="51">
        <v>166</v>
      </c>
      <c r="J17" s="51">
        <v>144</v>
      </c>
      <c r="K17" s="50">
        <f t="shared" si="4"/>
        <v>1.1527777777777777</v>
      </c>
      <c r="L17" s="29" t="s">
        <v>188</v>
      </c>
      <c r="M17" s="119" t="s">
        <v>318</v>
      </c>
    </row>
    <row r="18" spans="1:13">
      <c r="A18" s="23" t="s">
        <v>314</v>
      </c>
      <c r="B18" s="15">
        <v>78953733</v>
      </c>
      <c r="C18" s="15" t="s">
        <v>199</v>
      </c>
      <c r="D18" s="15" t="s">
        <v>187</v>
      </c>
      <c r="E18" s="27">
        <v>45852</v>
      </c>
      <c r="F18" s="27">
        <v>45860</v>
      </c>
      <c r="G18" s="16">
        <v>199697</v>
      </c>
      <c r="H18" s="15" t="s">
        <v>122</v>
      </c>
      <c r="I18" s="51">
        <v>1296</v>
      </c>
      <c r="J18" s="51">
        <v>1232</v>
      </c>
      <c r="K18" s="50">
        <f t="shared" si="4"/>
        <v>1.051948051948052</v>
      </c>
      <c r="L18" s="28" t="s">
        <v>167</v>
      </c>
      <c r="M18" s="15" t="s">
        <v>200</v>
      </c>
    </row>
    <row r="19" spans="1:13" s="26" customFormat="1">
      <c r="B19" s="17">
        <v>78952546</v>
      </c>
      <c r="C19" s="57" t="s">
        <v>174</v>
      </c>
      <c r="D19" s="17" t="s">
        <v>111</v>
      </c>
      <c r="E19" s="24">
        <v>45853</v>
      </c>
      <c r="F19" s="24">
        <v>45855</v>
      </c>
      <c r="G19" s="25" t="s">
        <v>277</v>
      </c>
      <c r="H19" s="17" t="s">
        <v>122</v>
      </c>
      <c r="I19" s="58">
        <v>0</v>
      </c>
      <c r="J19" s="58">
        <v>0</v>
      </c>
      <c r="K19" s="59" t="e">
        <f t="shared" si="4"/>
        <v>#DIV/0!</v>
      </c>
      <c r="L19" s="17" t="s">
        <v>123</v>
      </c>
      <c r="M19" s="17" t="s">
        <v>278</v>
      </c>
    </row>
    <row r="20" spans="1:13" s="31" customFormat="1">
      <c r="A20" s="31" t="s">
        <v>314</v>
      </c>
      <c r="B20" s="28">
        <v>78954024</v>
      </c>
      <c r="C20" s="28" t="s">
        <v>174</v>
      </c>
      <c r="D20" s="28" t="s">
        <v>111</v>
      </c>
      <c r="E20" s="44">
        <v>45853</v>
      </c>
      <c r="F20" s="44">
        <v>45855</v>
      </c>
      <c r="G20" s="16" t="s">
        <v>280</v>
      </c>
      <c r="H20" s="28" t="s">
        <v>122</v>
      </c>
      <c r="I20" s="51">
        <v>162</v>
      </c>
      <c r="J20" s="51">
        <v>152</v>
      </c>
      <c r="K20" s="50">
        <f t="shared" si="4"/>
        <v>1.0657894736842106</v>
      </c>
      <c r="L20" s="28" t="s">
        <v>279</v>
      </c>
      <c r="M20" s="28"/>
    </row>
    <row r="21" spans="1:13" s="31" customFormat="1" ht="34.15" customHeight="1">
      <c r="A21" s="31" t="s">
        <v>314</v>
      </c>
      <c r="B21" s="15">
        <v>78954221</v>
      </c>
      <c r="C21" s="15" t="s">
        <v>315</v>
      </c>
      <c r="D21" s="28" t="s">
        <v>293</v>
      </c>
      <c r="E21" s="44">
        <v>45854</v>
      </c>
      <c r="F21" s="44">
        <v>45858</v>
      </c>
      <c r="G21" s="28">
        <v>710452</v>
      </c>
      <c r="H21" s="28" t="s">
        <v>164</v>
      </c>
      <c r="I21" s="51">
        <v>332</v>
      </c>
      <c r="J21" s="51">
        <v>288</v>
      </c>
      <c r="K21" s="50">
        <f t="shared" si="4"/>
        <v>1.1527777777777777</v>
      </c>
      <c r="L21" s="29" t="s">
        <v>188</v>
      </c>
      <c r="M21" s="119" t="s">
        <v>318</v>
      </c>
    </row>
    <row r="22" spans="1:13" s="31" customFormat="1" ht="34.15" customHeight="1">
      <c r="A22" s="31" t="s">
        <v>314</v>
      </c>
      <c r="B22" s="15">
        <v>78954387</v>
      </c>
      <c r="C22" s="23" t="s">
        <v>330</v>
      </c>
      <c r="D22" s="28" t="s">
        <v>331</v>
      </c>
      <c r="E22" s="44">
        <v>45854</v>
      </c>
      <c r="F22" s="44" t="s">
        <v>332</v>
      </c>
      <c r="G22" s="20" t="s">
        <v>333</v>
      </c>
      <c r="H22" s="28" t="s">
        <v>122</v>
      </c>
      <c r="I22" s="51">
        <v>136</v>
      </c>
      <c r="J22" s="51">
        <v>130</v>
      </c>
      <c r="K22" s="50">
        <f t="shared" si="4"/>
        <v>1.0461538461538462</v>
      </c>
      <c r="L22" s="29" t="s">
        <v>188</v>
      </c>
      <c r="M22" s="15" t="s">
        <v>200</v>
      </c>
    </row>
    <row r="23" spans="1:13" s="26" customFormat="1">
      <c r="B23" s="17">
        <v>78953860</v>
      </c>
      <c r="C23" s="57" t="s">
        <v>244</v>
      </c>
      <c r="D23" s="17" t="s">
        <v>166</v>
      </c>
      <c r="E23" s="24">
        <v>45854</v>
      </c>
      <c r="F23" s="24">
        <v>45862</v>
      </c>
      <c r="G23" s="17" t="s">
        <v>311</v>
      </c>
      <c r="H23" s="17" t="s">
        <v>271</v>
      </c>
      <c r="I23" s="58">
        <v>0</v>
      </c>
      <c r="J23" s="58">
        <v>0</v>
      </c>
      <c r="K23" s="59" t="e">
        <f t="shared" si="4"/>
        <v>#DIV/0!</v>
      </c>
      <c r="L23" s="43" t="s">
        <v>188</v>
      </c>
      <c r="M23" s="17" t="s">
        <v>200</v>
      </c>
    </row>
    <row r="24" spans="1:13">
      <c r="A24" s="23" t="s">
        <v>314</v>
      </c>
      <c r="B24" s="15">
        <v>78953869</v>
      </c>
      <c r="C24" s="15" t="s">
        <v>247</v>
      </c>
      <c r="D24" s="28" t="s">
        <v>166</v>
      </c>
      <c r="E24" s="27">
        <v>45856</v>
      </c>
      <c r="F24" s="27">
        <v>45858</v>
      </c>
      <c r="G24" s="28" t="s">
        <v>268</v>
      </c>
      <c r="H24" s="15" t="s">
        <v>151</v>
      </c>
      <c r="I24" s="51">
        <v>304</v>
      </c>
      <c r="J24" s="51">
        <v>291.2</v>
      </c>
      <c r="K24" s="50">
        <f t="shared" si="4"/>
        <v>1.043956043956044</v>
      </c>
      <c r="L24" s="29" t="s">
        <v>188</v>
      </c>
      <c r="M24" s="15" t="s">
        <v>200</v>
      </c>
    </row>
    <row r="25" spans="1:13" s="26" customFormat="1">
      <c r="B25" s="17">
        <v>78953857</v>
      </c>
      <c r="C25" s="57" t="s">
        <v>239</v>
      </c>
      <c r="D25" s="17" t="s">
        <v>216</v>
      </c>
      <c r="E25" s="24">
        <v>45856</v>
      </c>
      <c r="F25" s="24">
        <v>45863</v>
      </c>
      <c r="G25" s="43" t="s">
        <v>307</v>
      </c>
      <c r="H25" s="17" t="s">
        <v>240</v>
      </c>
      <c r="I25" s="58">
        <v>0</v>
      </c>
      <c r="J25" s="58">
        <v>0</v>
      </c>
      <c r="K25" s="59" t="e">
        <f t="shared" si="4"/>
        <v>#DIV/0!</v>
      </c>
      <c r="L25" s="17" t="s">
        <v>167</v>
      </c>
      <c r="M25" s="17" t="s">
        <v>200</v>
      </c>
    </row>
    <row r="26" spans="1:13" s="26" customFormat="1">
      <c r="B26" s="17">
        <v>78954157</v>
      </c>
      <c r="C26" s="57" t="s">
        <v>305</v>
      </c>
      <c r="D26" s="17" t="s">
        <v>304</v>
      </c>
      <c r="E26" s="24">
        <v>45859</v>
      </c>
      <c r="F26" s="24">
        <v>45867</v>
      </c>
      <c r="G26" s="43" t="s">
        <v>14</v>
      </c>
      <c r="H26" s="17" t="s">
        <v>122</v>
      </c>
      <c r="I26" s="58">
        <v>0</v>
      </c>
      <c r="J26" s="58">
        <v>0</v>
      </c>
      <c r="K26" s="59" t="e">
        <f t="shared" si="4"/>
        <v>#DIV/0!</v>
      </c>
      <c r="L26" s="17" t="s">
        <v>276</v>
      </c>
      <c r="M26" s="17" t="s">
        <v>214</v>
      </c>
    </row>
    <row r="27" spans="1:13" s="26" customFormat="1">
      <c r="B27" s="17">
        <v>78953347</v>
      </c>
      <c r="C27" s="57" t="s">
        <v>210</v>
      </c>
      <c r="D27" s="17" t="s">
        <v>166</v>
      </c>
      <c r="E27" s="24">
        <v>45861</v>
      </c>
      <c r="F27" s="24">
        <v>45862</v>
      </c>
      <c r="G27" s="25" t="s">
        <v>197</v>
      </c>
      <c r="H27" s="17" t="s">
        <v>122</v>
      </c>
      <c r="I27" s="58">
        <v>0</v>
      </c>
      <c r="J27" s="58">
        <v>0</v>
      </c>
      <c r="K27" s="124" t="e">
        <f t="shared" si="4"/>
        <v>#DIV/0!</v>
      </c>
      <c r="L27" s="17" t="s">
        <v>167</v>
      </c>
      <c r="M27" s="17"/>
    </row>
    <row r="28" spans="1:13" s="26" customFormat="1">
      <c r="B28" s="17">
        <v>78953740</v>
      </c>
      <c r="C28" s="17" t="s">
        <v>210</v>
      </c>
      <c r="D28" s="17" t="s">
        <v>166</v>
      </c>
      <c r="E28" s="24">
        <v>45861</v>
      </c>
      <c r="F28" s="24">
        <v>45862</v>
      </c>
      <c r="G28" s="25" t="s">
        <v>209</v>
      </c>
      <c r="H28" s="17" t="s">
        <v>122</v>
      </c>
      <c r="I28" s="58">
        <v>0</v>
      </c>
      <c r="J28" s="58">
        <v>0</v>
      </c>
      <c r="K28" s="124" t="e">
        <f t="shared" si="4"/>
        <v>#DIV/0!</v>
      </c>
      <c r="L28" s="17" t="s">
        <v>167</v>
      </c>
      <c r="M28" s="17" t="s">
        <v>198</v>
      </c>
    </row>
    <row r="29" spans="1:13" s="31" customFormat="1">
      <c r="A29" s="31" t="s">
        <v>314</v>
      </c>
      <c r="B29" s="15">
        <v>78953771</v>
      </c>
      <c r="C29" s="28" t="s">
        <v>210</v>
      </c>
      <c r="D29" s="28" t="s">
        <v>166</v>
      </c>
      <c r="E29" s="44">
        <v>45861</v>
      </c>
      <c r="F29" s="44">
        <v>45862</v>
      </c>
      <c r="G29" s="28" t="s">
        <v>267</v>
      </c>
      <c r="H29" s="15" t="s">
        <v>122</v>
      </c>
      <c r="I29" s="51">
        <v>76</v>
      </c>
      <c r="J29" s="51">
        <v>72.8</v>
      </c>
      <c r="K29" s="50">
        <f t="shared" si="4"/>
        <v>1.043956043956044</v>
      </c>
      <c r="L29" s="28" t="s">
        <v>167</v>
      </c>
      <c r="M29" s="28" t="s">
        <v>198</v>
      </c>
    </row>
    <row r="30" spans="1:13" s="26" customFormat="1">
      <c r="B30" s="17">
        <v>78953817</v>
      </c>
      <c r="C30" s="17" t="s">
        <v>228</v>
      </c>
      <c r="D30" s="17" t="s">
        <v>223</v>
      </c>
      <c r="E30" s="24">
        <v>45862</v>
      </c>
      <c r="F30" s="24">
        <v>45896</v>
      </c>
      <c r="G30" s="43" t="s">
        <v>338</v>
      </c>
      <c r="H30" s="17" t="s">
        <v>227</v>
      </c>
      <c r="I30" s="58">
        <v>0</v>
      </c>
      <c r="J30" s="58">
        <v>0</v>
      </c>
      <c r="K30" s="59" t="e">
        <f t="shared" si="4"/>
        <v>#DIV/0!</v>
      </c>
      <c r="L30" s="17" t="s">
        <v>167</v>
      </c>
      <c r="M30" s="17" t="s">
        <v>200</v>
      </c>
    </row>
    <row r="31" spans="1:13" s="26" customFormat="1">
      <c r="B31" s="17">
        <v>78953818</v>
      </c>
      <c r="C31" s="17" t="s">
        <v>229</v>
      </c>
      <c r="D31" s="17" t="s">
        <v>223</v>
      </c>
      <c r="E31" s="24">
        <v>45862</v>
      </c>
      <c r="F31" s="24">
        <v>45896</v>
      </c>
      <c r="G31" s="17" t="s">
        <v>282</v>
      </c>
      <c r="H31" s="17" t="s">
        <v>151</v>
      </c>
      <c r="I31" s="58">
        <v>0</v>
      </c>
      <c r="J31" s="58">
        <v>0</v>
      </c>
      <c r="K31" s="59" t="e">
        <f t="shared" si="4"/>
        <v>#DIV/0!</v>
      </c>
      <c r="L31" s="17" t="s">
        <v>167</v>
      </c>
      <c r="M31" s="17" t="s">
        <v>200</v>
      </c>
    </row>
    <row r="32" spans="1:13" s="26" customFormat="1" ht="78.599999999999994" customHeight="1">
      <c r="B32" s="17">
        <v>78953819</v>
      </c>
      <c r="C32" s="17" t="s">
        <v>231</v>
      </c>
      <c r="D32" s="17" t="s">
        <v>223</v>
      </c>
      <c r="E32" s="24">
        <v>45862</v>
      </c>
      <c r="F32" s="24">
        <v>45896</v>
      </c>
      <c r="G32" s="17" t="s">
        <v>281</v>
      </c>
      <c r="H32" s="17" t="s">
        <v>230</v>
      </c>
      <c r="I32" s="58">
        <v>0</v>
      </c>
      <c r="J32" s="58">
        <v>0</v>
      </c>
      <c r="K32" s="59" t="e">
        <f t="shared" ref="K32:K33" si="5">I32/J32</f>
        <v>#DIV/0!</v>
      </c>
      <c r="L32" s="17" t="s">
        <v>167</v>
      </c>
      <c r="M32" s="132" t="s">
        <v>246</v>
      </c>
    </row>
    <row r="33" spans="1:13" s="31" customFormat="1" ht="19.149999999999999" customHeight="1">
      <c r="A33" s="31" t="s">
        <v>314</v>
      </c>
      <c r="B33" s="15">
        <v>78953990</v>
      </c>
      <c r="C33" s="15" t="s">
        <v>275</v>
      </c>
      <c r="D33" s="28" t="s">
        <v>274</v>
      </c>
      <c r="E33" s="44">
        <v>45867</v>
      </c>
      <c r="F33" s="44">
        <v>45871</v>
      </c>
      <c r="G33" s="32" t="s">
        <v>303</v>
      </c>
      <c r="H33" s="15" t="s">
        <v>230</v>
      </c>
      <c r="I33" s="51">
        <v>328</v>
      </c>
      <c r="J33" s="51">
        <v>312</v>
      </c>
      <c r="K33" s="50">
        <f t="shared" si="5"/>
        <v>1.0512820512820513</v>
      </c>
      <c r="L33" s="28" t="s">
        <v>276</v>
      </c>
      <c r="M33" s="119" t="s">
        <v>200</v>
      </c>
    </row>
    <row r="34" spans="1:13" ht="15.6" customHeight="1">
      <c r="A34" s="23" t="s">
        <v>314</v>
      </c>
      <c r="B34" s="15">
        <v>78953321</v>
      </c>
      <c r="C34" s="15" t="s">
        <v>163</v>
      </c>
      <c r="D34" s="15" t="s">
        <v>153</v>
      </c>
      <c r="E34" s="27">
        <v>45869</v>
      </c>
      <c r="F34" s="27">
        <v>45873</v>
      </c>
      <c r="G34" s="15" t="s">
        <v>165</v>
      </c>
      <c r="H34" s="15" t="s">
        <v>164</v>
      </c>
      <c r="I34" s="51">
        <v>244</v>
      </c>
      <c r="J34" s="51">
        <v>232</v>
      </c>
      <c r="K34" s="50">
        <f t="shared" ref="K34:K35" si="6">I34/J34</f>
        <v>1.0517241379310345</v>
      </c>
      <c r="L34" s="28" t="s">
        <v>123</v>
      </c>
      <c r="M34" s="15"/>
    </row>
    <row r="35" spans="1:13" s="138" customFormat="1" ht="15.6" customHeight="1">
      <c r="B35" s="133">
        <v>78954135</v>
      </c>
      <c r="C35" s="139" t="s">
        <v>299</v>
      </c>
      <c r="D35" s="133" t="s">
        <v>298</v>
      </c>
      <c r="E35" s="134">
        <v>45869</v>
      </c>
      <c r="F35" s="134">
        <v>45877</v>
      </c>
      <c r="G35" s="133" t="s">
        <v>14</v>
      </c>
      <c r="H35" s="133" t="s">
        <v>230</v>
      </c>
      <c r="I35" s="135">
        <v>0</v>
      </c>
      <c r="J35" s="135">
        <v>0</v>
      </c>
      <c r="K35" s="136" t="e">
        <f t="shared" si="6"/>
        <v>#DIV/0!</v>
      </c>
      <c r="L35" s="133" t="s">
        <v>167</v>
      </c>
      <c r="M35" s="133" t="s">
        <v>200</v>
      </c>
    </row>
    <row r="36" spans="1:13"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</row>
    <row r="37" spans="1:13"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</row>
    <row r="38" spans="1:13"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</row>
    <row r="39" spans="1:13"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</row>
    <row r="40" spans="1:13">
      <c r="B40" s="15"/>
      <c r="C40" s="15"/>
      <c r="D40" s="15"/>
      <c r="E40" s="15"/>
      <c r="F40" s="15"/>
      <c r="G40" s="15"/>
      <c r="H40" s="15"/>
      <c r="I40" s="130">
        <f>SUM(I3:I39)</f>
        <v>9315.7000000000007</v>
      </c>
      <c r="J40" s="130">
        <f>SUM(J3:J39)</f>
        <v>8607.4</v>
      </c>
      <c r="K40" s="129">
        <f t="shared" ref="K40" si="7">I40/J40</f>
        <v>1.0822896577363665</v>
      </c>
      <c r="L40" s="15"/>
      <c r="M40" s="15"/>
    </row>
    <row r="41" spans="1:13">
      <c r="B41" s="15"/>
      <c r="C41" s="15"/>
      <c r="D41" s="15"/>
      <c r="E41" s="15"/>
      <c r="F41" s="15"/>
      <c r="G41" s="15"/>
      <c r="H41" s="15"/>
      <c r="I41" s="131"/>
      <c r="J41" s="131"/>
      <c r="K41" s="131"/>
      <c r="L41" s="15"/>
      <c r="M41" s="15"/>
    </row>
    <row r="42" spans="1:13">
      <c r="B42" s="15"/>
      <c r="C42" s="15"/>
      <c r="D42" s="15"/>
      <c r="E42" s="15"/>
      <c r="F42" s="15"/>
      <c r="G42" s="15"/>
      <c r="H42" s="15"/>
      <c r="I42" s="131" t="s">
        <v>131</v>
      </c>
      <c r="J42" s="130">
        <f>I40-J40</f>
        <v>708.30000000000109</v>
      </c>
      <c r="K42" s="131"/>
      <c r="L42" s="15"/>
      <c r="M42" s="15"/>
    </row>
    <row r="43" spans="1:13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</row>
    <row r="44" spans="1:13"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</row>
    <row r="45" spans="1:13"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</row>
    <row r="46" spans="1:13"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</row>
    <row r="47" spans="1:13"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</row>
    <row r="48" spans="1:13"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</row>
    <row r="49" spans="2:13"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</row>
  </sheetData>
  <autoFilter ref="A2:M35" xr:uid="{945F49D6-B9D4-45A8-9DA1-D9D9B78A2530}"/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BC922-5328-4B6B-A2A9-D1BAF857BB61}">
  <dimension ref="A1:W77"/>
  <sheetViews>
    <sheetView workbookViewId="0">
      <selection activeCell="M25" sqref="M25"/>
    </sheetView>
  </sheetViews>
  <sheetFormatPr baseColWidth="10" defaultColWidth="8.75" defaultRowHeight="15.75"/>
  <cols>
    <col min="1" max="1" width="8.75" style="23"/>
    <col min="2" max="2" width="19.125" style="23" bestFit="1" customWidth="1"/>
    <col min="3" max="3" width="21.5" style="23" customWidth="1"/>
    <col min="4" max="4" width="34" style="23" bestFit="1" customWidth="1"/>
    <col min="5" max="5" width="12.625" style="23" bestFit="1" customWidth="1"/>
    <col min="6" max="6" width="12.75" style="23" bestFit="1" customWidth="1"/>
    <col min="7" max="7" width="21.25" style="23" bestFit="1" customWidth="1"/>
    <col min="8" max="8" width="23.75" style="23" bestFit="1" customWidth="1"/>
    <col min="9" max="9" width="20.5" style="23" bestFit="1" customWidth="1"/>
    <col min="10" max="10" width="15.375" style="23" customWidth="1"/>
    <col min="11" max="11" width="11.625" style="23" customWidth="1"/>
    <col min="12" max="12" width="30.375" style="23" customWidth="1"/>
    <col min="13" max="13" width="46.25" style="23" bestFit="1" customWidth="1"/>
    <col min="14" max="16384" width="8.75" style="23"/>
  </cols>
  <sheetData>
    <row r="1" spans="1:23" ht="16.899999999999999" customHeight="1"/>
    <row r="2" spans="1:23" s="55" customFormat="1">
      <c r="B2" s="121" t="s">
        <v>138</v>
      </c>
      <c r="C2" s="143" t="s">
        <v>137</v>
      </c>
      <c r="D2" s="121" t="s">
        <v>139</v>
      </c>
      <c r="E2" s="121" t="s">
        <v>140</v>
      </c>
      <c r="F2" s="121" t="s">
        <v>141</v>
      </c>
      <c r="G2" s="41" t="s">
        <v>142</v>
      </c>
      <c r="H2" s="122" t="s">
        <v>143</v>
      </c>
      <c r="I2" s="122" t="s">
        <v>144</v>
      </c>
      <c r="J2" s="122" t="s">
        <v>145</v>
      </c>
      <c r="K2" s="122" t="s">
        <v>118</v>
      </c>
      <c r="L2" s="121" t="s">
        <v>146</v>
      </c>
      <c r="M2" s="22" t="s">
        <v>82</v>
      </c>
    </row>
    <row r="3" spans="1:23">
      <c r="A3" s="23" t="s">
        <v>314</v>
      </c>
      <c r="B3" s="15">
        <v>78954833</v>
      </c>
      <c r="C3" s="185" t="s">
        <v>358</v>
      </c>
      <c r="D3" s="35" t="s">
        <v>359</v>
      </c>
      <c r="E3" s="36">
        <v>45872</v>
      </c>
      <c r="F3" s="36">
        <v>45875</v>
      </c>
      <c r="G3" s="20" t="s">
        <v>360</v>
      </c>
      <c r="H3" s="28" t="s">
        <v>230</v>
      </c>
      <c r="I3" s="51">
        <v>384</v>
      </c>
      <c r="J3" s="51">
        <v>365.4</v>
      </c>
      <c r="K3" s="50">
        <f t="shared" ref="K3:K35" si="0">I3/J3</f>
        <v>1.0509031198686372</v>
      </c>
      <c r="L3" s="35" t="s">
        <v>188</v>
      </c>
      <c r="M3" s="15" t="s">
        <v>214</v>
      </c>
    </row>
    <row r="4" spans="1:23" s="26" customFormat="1">
      <c r="B4" s="17">
        <v>78954065</v>
      </c>
      <c r="C4" s="17" t="s">
        <v>291</v>
      </c>
      <c r="D4" s="43" t="s">
        <v>290</v>
      </c>
      <c r="E4" s="125">
        <v>45873</v>
      </c>
      <c r="F4" s="125">
        <v>46240</v>
      </c>
      <c r="G4" s="150" t="s">
        <v>362</v>
      </c>
      <c r="H4" s="17" t="s">
        <v>151</v>
      </c>
      <c r="I4" s="58">
        <v>0</v>
      </c>
      <c r="J4" s="58">
        <v>0</v>
      </c>
      <c r="K4" s="59" t="e">
        <f t="shared" si="0"/>
        <v>#DIV/0!</v>
      </c>
      <c r="L4" s="43" t="s">
        <v>188</v>
      </c>
      <c r="M4" s="17" t="s">
        <v>365</v>
      </c>
    </row>
    <row r="5" spans="1:23">
      <c r="A5" s="23" t="s">
        <v>314</v>
      </c>
      <c r="B5" s="15">
        <v>78954163</v>
      </c>
      <c r="C5" s="15" t="s">
        <v>308</v>
      </c>
      <c r="D5" s="35" t="s">
        <v>309</v>
      </c>
      <c r="E5" s="36">
        <v>45873</v>
      </c>
      <c r="F5" s="36">
        <v>45877</v>
      </c>
      <c r="G5" s="40" t="s">
        <v>313</v>
      </c>
      <c r="H5" s="28" t="s">
        <v>230</v>
      </c>
      <c r="I5" s="51">
        <v>114</v>
      </c>
      <c r="J5" s="51">
        <v>98</v>
      </c>
      <c r="K5" s="50">
        <f t="shared" si="0"/>
        <v>1.1632653061224489</v>
      </c>
      <c r="L5" s="28" t="s">
        <v>95</v>
      </c>
      <c r="M5" s="15"/>
    </row>
    <row r="6" spans="1:23" s="31" customFormat="1">
      <c r="A6" s="31" t="s">
        <v>314</v>
      </c>
      <c r="B6" s="16">
        <v>78954761</v>
      </c>
      <c r="C6" s="16" t="s">
        <v>353</v>
      </c>
      <c r="D6" s="33" t="s">
        <v>290</v>
      </c>
      <c r="E6" s="188">
        <v>45873</v>
      </c>
      <c r="F6" s="188">
        <v>45878</v>
      </c>
      <c r="G6" s="33">
        <v>206384</v>
      </c>
      <c r="H6" s="28" t="s">
        <v>230</v>
      </c>
      <c r="I6" s="51">
        <v>990</v>
      </c>
      <c r="J6" s="51">
        <v>945</v>
      </c>
      <c r="K6" s="50">
        <f t="shared" si="0"/>
        <v>1.0476190476190477</v>
      </c>
      <c r="L6" s="29" t="s">
        <v>188</v>
      </c>
      <c r="M6" s="28" t="s">
        <v>214</v>
      </c>
    </row>
    <row r="7" spans="1:23">
      <c r="A7" s="23" t="s">
        <v>314</v>
      </c>
      <c r="B7" s="48">
        <v>78954761</v>
      </c>
      <c r="C7" s="48" t="s">
        <v>353</v>
      </c>
      <c r="D7" s="189" t="s">
        <v>361</v>
      </c>
      <c r="E7" s="190">
        <v>45878</v>
      </c>
      <c r="F7" s="190">
        <v>45880</v>
      </c>
      <c r="G7" s="53" t="s">
        <v>371</v>
      </c>
      <c r="H7" s="28" t="s">
        <v>230</v>
      </c>
      <c r="I7" s="51">
        <v>396</v>
      </c>
      <c r="J7" s="51">
        <v>332.52</v>
      </c>
      <c r="K7" s="50">
        <f t="shared" ref="K7" si="1">I7/J7</f>
        <v>1.1909058101768315</v>
      </c>
      <c r="L7" s="35" t="s">
        <v>188</v>
      </c>
      <c r="M7" s="15" t="s">
        <v>364</v>
      </c>
    </row>
    <row r="8" spans="1:23" s="17" customFormat="1">
      <c r="A8" s="141"/>
      <c r="B8" s="17">
        <v>78953802</v>
      </c>
      <c r="C8" s="17" t="s">
        <v>217</v>
      </c>
      <c r="D8" s="17" t="s">
        <v>195</v>
      </c>
      <c r="E8" s="24">
        <v>45874</v>
      </c>
      <c r="F8" s="24">
        <v>45877</v>
      </c>
      <c r="G8" s="17" t="s">
        <v>14</v>
      </c>
      <c r="H8" s="17" t="s">
        <v>218</v>
      </c>
      <c r="I8" s="58">
        <v>0</v>
      </c>
      <c r="J8" s="58">
        <v>0</v>
      </c>
      <c r="K8" s="59" t="e">
        <f t="shared" si="0"/>
        <v>#DIV/0!</v>
      </c>
      <c r="L8" s="43" t="s">
        <v>188</v>
      </c>
      <c r="M8" s="17" t="s">
        <v>214</v>
      </c>
      <c r="N8" s="26"/>
      <c r="O8" s="26"/>
      <c r="P8" s="26"/>
      <c r="Q8" s="26"/>
      <c r="R8" s="26"/>
      <c r="S8" s="26"/>
      <c r="T8" s="26"/>
      <c r="U8" s="26"/>
      <c r="V8" s="26"/>
      <c r="W8" s="26"/>
    </row>
    <row r="9" spans="1:23" s="17" customFormat="1">
      <c r="A9" s="141"/>
      <c r="B9" s="17">
        <v>78953803</v>
      </c>
      <c r="C9" s="17" t="s">
        <v>219</v>
      </c>
      <c r="D9" s="17" t="s">
        <v>195</v>
      </c>
      <c r="E9" s="24">
        <v>45874</v>
      </c>
      <c r="F9" s="24">
        <v>45877</v>
      </c>
      <c r="G9" s="17" t="s">
        <v>14</v>
      </c>
      <c r="H9" s="17" t="s">
        <v>151</v>
      </c>
      <c r="I9" s="58">
        <v>0</v>
      </c>
      <c r="J9" s="58">
        <v>0</v>
      </c>
      <c r="K9" s="59" t="e">
        <f t="shared" si="0"/>
        <v>#DIV/0!</v>
      </c>
      <c r="L9" s="43" t="s">
        <v>188</v>
      </c>
      <c r="M9" s="17" t="s">
        <v>214</v>
      </c>
      <c r="N9" s="26"/>
      <c r="O9" s="26"/>
      <c r="P9" s="26"/>
      <c r="Q9" s="26"/>
      <c r="R9" s="26"/>
      <c r="S9" s="26"/>
      <c r="T9" s="26"/>
      <c r="U9" s="26"/>
      <c r="V9" s="26"/>
      <c r="W9" s="26"/>
    </row>
    <row r="10" spans="1:23" s="28" customFormat="1">
      <c r="A10" s="63" t="s">
        <v>314</v>
      </c>
      <c r="B10" s="28">
        <v>78954553</v>
      </c>
      <c r="C10" s="191" t="s">
        <v>375</v>
      </c>
      <c r="D10" s="28" t="s">
        <v>216</v>
      </c>
      <c r="E10" s="44" t="s">
        <v>340</v>
      </c>
      <c r="F10" s="44">
        <v>45878</v>
      </c>
      <c r="G10" s="29">
        <v>204640</v>
      </c>
      <c r="H10" s="16" t="s">
        <v>374</v>
      </c>
      <c r="I10" s="192">
        <v>1920.6</v>
      </c>
      <c r="J10" s="51">
        <v>1833.3</v>
      </c>
      <c r="K10" s="50">
        <f t="shared" si="0"/>
        <v>1.0476190476190477</v>
      </c>
      <c r="L10" s="35" t="s">
        <v>188</v>
      </c>
      <c r="M10" s="15" t="s">
        <v>214</v>
      </c>
      <c r="N10" s="31"/>
      <c r="O10" s="31"/>
      <c r="P10" s="31"/>
      <c r="Q10" s="31"/>
      <c r="R10" s="31"/>
      <c r="S10" s="31"/>
      <c r="T10" s="31"/>
      <c r="U10" s="31"/>
      <c r="V10" s="31"/>
      <c r="W10" s="31"/>
    </row>
    <row r="11" spans="1:23" s="17" customFormat="1">
      <c r="A11" s="141"/>
      <c r="B11" s="17">
        <v>78954561</v>
      </c>
      <c r="C11" s="150" t="s">
        <v>341</v>
      </c>
      <c r="D11" s="17" t="s">
        <v>99</v>
      </c>
      <c r="E11" s="24">
        <v>45874</v>
      </c>
      <c r="F11" s="24">
        <v>45877</v>
      </c>
      <c r="G11" s="150" t="s">
        <v>342</v>
      </c>
      <c r="H11" s="17" t="s">
        <v>230</v>
      </c>
      <c r="I11" s="58">
        <v>0</v>
      </c>
      <c r="J11" s="58">
        <v>0</v>
      </c>
      <c r="K11" s="59" t="e">
        <f t="shared" si="0"/>
        <v>#DIV/0!</v>
      </c>
      <c r="L11" s="43" t="s">
        <v>343</v>
      </c>
      <c r="M11" s="17" t="s">
        <v>348</v>
      </c>
      <c r="N11" s="26"/>
      <c r="O11" s="26"/>
      <c r="P11" s="26"/>
      <c r="Q11" s="26"/>
      <c r="R11" s="26"/>
      <c r="S11" s="26"/>
      <c r="T11" s="26"/>
      <c r="U11" s="26"/>
      <c r="V11" s="26"/>
      <c r="W11" s="26"/>
    </row>
    <row r="12" spans="1:23" s="28" customFormat="1">
      <c r="A12" s="63" t="s">
        <v>314</v>
      </c>
      <c r="B12" s="15">
        <v>78954678</v>
      </c>
      <c r="C12" s="60" t="s">
        <v>341</v>
      </c>
      <c r="D12" s="28" t="s">
        <v>99</v>
      </c>
      <c r="E12" s="44">
        <v>45874</v>
      </c>
      <c r="F12" s="44">
        <v>45877</v>
      </c>
      <c r="G12" s="32" t="s">
        <v>357</v>
      </c>
      <c r="H12" s="16" t="s">
        <v>230</v>
      </c>
      <c r="I12" s="192">
        <v>270</v>
      </c>
      <c r="J12" s="51">
        <v>252</v>
      </c>
      <c r="K12" s="50">
        <f t="shared" ref="K12" si="2">I12/J12</f>
        <v>1.0714285714285714</v>
      </c>
      <c r="L12" s="35" t="s">
        <v>343</v>
      </c>
      <c r="M12" s="15" t="s">
        <v>214</v>
      </c>
      <c r="N12" s="31"/>
      <c r="O12" s="31"/>
      <c r="P12" s="31"/>
      <c r="Q12" s="31"/>
      <c r="R12" s="31"/>
      <c r="S12" s="31"/>
      <c r="T12" s="31"/>
      <c r="U12" s="31"/>
      <c r="V12" s="31"/>
      <c r="W12" s="31"/>
    </row>
    <row r="13" spans="1:23" s="15" customFormat="1">
      <c r="A13" s="94" t="s">
        <v>314</v>
      </c>
      <c r="B13" s="15">
        <v>78953837</v>
      </c>
      <c r="C13" s="15" t="s">
        <v>232</v>
      </c>
      <c r="D13" s="15" t="s">
        <v>216</v>
      </c>
      <c r="E13" s="27">
        <v>45875</v>
      </c>
      <c r="F13" s="27">
        <v>45883</v>
      </c>
      <c r="G13" s="29">
        <v>200427</v>
      </c>
      <c r="H13" s="15" t="s">
        <v>233</v>
      </c>
      <c r="I13" s="51">
        <v>1296</v>
      </c>
      <c r="J13" s="51">
        <v>1232</v>
      </c>
      <c r="K13" s="50">
        <f t="shared" si="0"/>
        <v>1.051948051948052</v>
      </c>
      <c r="L13" s="35" t="s">
        <v>188</v>
      </c>
      <c r="M13" s="15" t="s">
        <v>214</v>
      </c>
      <c r="N13" s="23"/>
      <c r="O13" s="23"/>
      <c r="P13" s="23"/>
      <c r="Q13" s="23"/>
      <c r="R13" s="23"/>
      <c r="S13" s="23"/>
      <c r="T13" s="23"/>
      <c r="U13" s="23"/>
      <c r="V13" s="23"/>
      <c r="W13" s="23"/>
    </row>
    <row r="14" spans="1:23" s="133" customFormat="1">
      <c r="A14" s="142"/>
      <c r="B14" s="133">
        <v>78953863</v>
      </c>
      <c r="C14" s="133" t="s">
        <v>245</v>
      </c>
      <c r="D14" s="133" t="s">
        <v>221</v>
      </c>
      <c r="E14" s="134">
        <v>45876</v>
      </c>
      <c r="F14" s="134">
        <v>45887</v>
      </c>
      <c r="G14" s="133" t="s">
        <v>300</v>
      </c>
      <c r="H14" s="133" t="s">
        <v>233</v>
      </c>
      <c r="I14" s="135">
        <v>0</v>
      </c>
      <c r="J14" s="135">
        <v>0</v>
      </c>
      <c r="K14" s="136" t="e">
        <f t="shared" si="0"/>
        <v>#DIV/0!</v>
      </c>
      <c r="L14" s="137" t="s">
        <v>188</v>
      </c>
      <c r="M14" s="133" t="s">
        <v>273</v>
      </c>
      <c r="N14" s="138"/>
      <c r="O14" s="138"/>
      <c r="P14" s="138"/>
      <c r="Q14" s="138"/>
      <c r="R14" s="138"/>
      <c r="S14" s="138"/>
      <c r="T14" s="138"/>
      <c r="U14" s="138"/>
      <c r="V14" s="138"/>
      <c r="W14" s="138"/>
    </row>
    <row r="15" spans="1:23" s="28" customFormat="1">
      <c r="A15" s="63" t="s">
        <v>314</v>
      </c>
      <c r="B15" s="15">
        <v>78954536</v>
      </c>
      <c r="C15" s="15" t="s">
        <v>339</v>
      </c>
      <c r="D15" s="28" t="s">
        <v>216</v>
      </c>
      <c r="E15" s="44">
        <v>45881</v>
      </c>
      <c r="F15" s="44">
        <v>45885</v>
      </c>
      <c r="G15" s="28">
        <v>204582</v>
      </c>
      <c r="H15" s="15" t="s">
        <v>233</v>
      </c>
      <c r="I15" s="51">
        <v>648</v>
      </c>
      <c r="J15" s="51">
        <v>616</v>
      </c>
      <c r="K15" s="50">
        <f t="shared" si="0"/>
        <v>1.051948051948052</v>
      </c>
      <c r="L15" s="35" t="s">
        <v>188</v>
      </c>
      <c r="M15" s="15" t="s">
        <v>214</v>
      </c>
      <c r="N15" s="31"/>
      <c r="O15" s="31"/>
      <c r="P15" s="31"/>
      <c r="Q15" s="31"/>
      <c r="R15" s="31"/>
      <c r="S15" s="31"/>
      <c r="T15" s="31"/>
      <c r="U15" s="31"/>
      <c r="V15" s="31"/>
      <c r="W15" s="31"/>
    </row>
    <row r="16" spans="1:23" s="17" customFormat="1">
      <c r="A16" s="141"/>
      <c r="B16" s="17">
        <v>78953813</v>
      </c>
      <c r="C16" s="17" t="s">
        <v>220</v>
      </c>
      <c r="D16" s="17" t="s">
        <v>221</v>
      </c>
      <c r="E16" s="24">
        <v>45883</v>
      </c>
      <c r="F16" s="24">
        <v>45886</v>
      </c>
      <c r="G16" s="17" t="s">
        <v>370</v>
      </c>
      <c r="H16" s="17" t="s">
        <v>233</v>
      </c>
      <c r="I16" s="58">
        <v>0</v>
      </c>
      <c r="J16" s="58">
        <v>0</v>
      </c>
      <c r="K16" s="59" t="e">
        <f t="shared" si="0"/>
        <v>#DIV/0!</v>
      </c>
      <c r="L16" s="43" t="s">
        <v>188</v>
      </c>
      <c r="M16" s="187" t="s">
        <v>273</v>
      </c>
      <c r="N16" s="26"/>
      <c r="O16" s="26"/>
      <c r="P16" s="26"/>
      <c r="Q16" s="26"/>
      <c r="R16" s="26"/>
      <c r="S16" s="26"/>
      <c r="T16" s="26"/>
      <c r="U16" s="26"/>
      <c r="V16" s="26"/>
      <c r="W16" s="26"/>
    </row>
    <row r="17" spans="1:23" s="15" customFormat="1" ht="47.25">
      <c r="A17" s="94" t="s">
        <v>314</v>
      </c>
      <c r="B17" s="15">
        <v>78954784</v>
      </c>
      <c r="C17" s="185" t="s">
        <v>356</v>
      </c>
      <c r="D17" s="48" t="s">
        <v>361</v>
      </c>
      <c r="E17" s="193">
        <v>45884</v>
      </c>
      <c r="F17" s="193">
        <v>45885</v>
      </c>
      <c r="G17" s="194" t="s">
        <v>379</v>
      </c>
      <c r="H17" s="15" t="s">
        <v>233</v>
      </c>
      <c r="I17" s="51">
        <v>142</v>
      </c>
      <c r="J17" s="51">
        <v>166.26</v>
      </c>
      <c r="K17" s="59">
        <f t="shared" si="0"/>
        <v>0.85408396487429328</v>
      </c>
      <c r="L17" s="35" t="s">
        <v>188</v>
      </c>
      <c r="M17" s="132" t="s">
        <v>380</v>
      </c>
      <c r="N17" s="23"/>
      <c r="O17" s="23"/>
      <c r="P17" s="23"/>
      <c r="Q17" s="23"/>
      <c r="R17" s="23"/>
      <c r="S17" s="23"/>
      <c r="T17" s="23"/>
      <c r="U17" s="23"/>
      <c r="V17" s="23"/>
      <c r="W17" s="23"/>
    </row>
    <row r="18" spans="1:23" s="15" customFormat="1">
      <c r="A18" s="94" t="s">
        <v>314</v>
      </c>
      <c r="B18" s="15">
        <v>78953214</v>
      </c>
      <c r="C18" s="48" t="s">
        <v>162</v>
      </c>
      <c r="D18" s="48" t="s">
        <v>153</v>
      </c>
      <c r="E18" s="27">
        <v>45886</v>
      </c>
      <c r="F18" s="27">
        <v>45888</v>
      </c>
      <c r="G18" s="28" t="s">
        <v>161</v>
      </c>
      <c r="H18" s="15" t="s">
        <v>230</v>
      </c>
      <c r="I18" s="51">
        <v>168</v>
      </c>
      <c r="J18" s="51">
        <v>160</v>
      </c>
      <c r="K18" s="50">
        <f t="shared" si="0"/>
        <v>1.05</v>
      </c>
      <c r="L18" s="28" t="s">
        <v>123</v>
      </c>
      <c r="N18" s="23"/>
      <c r="O18" s="23"/>
      <c r="P18" s="23"/>
      <c r="Q18" s="23"/>
      <c r="R18" s="23"/>
      <c r="S18" s="23"/>
      <c r="T18" s="23"/>
      <c r="U18" s="23"/>
      <c r="V18" s="23"/>
      <c r="W18" s="23"/>
    </row>
    <row r="19" spans="1:23" s="15" customFormat="1">
      <c r="A19" s="94" t="s">
        <v>314</v>
      </c>
      <c r="B19" s="48">
        <v>78954919</v>
      </c>
      <c r="C19" s="186" t="s">
        <v>368</v>
      </c>
      <c r="D19" s="48" t="s">
        <v>238</v>
      </c>
      <c r="E19" s="27">
        <v>45886</v>
      </c>
      <c r="F19" s="27">
        <v>45890</v>
      </c>
      <c r="G19" s="140" t="s">
        <v>373</v>
      </c>
      <c r="H19" s="15" t="s">
        <v>369</v>
      </c>
      <c r="I19" s="51">
        <v>328</v>
      </c>
      <c r="J19" s="51">
        <v>312</v>
      </c>
      <c r="K19" s="50">
        <f t="shared" si="0"/>
        <v>1.0512820512820513</v>
      </c>
      <c r="L19" s="35" t="s">
        <v>222</v>
      </c>
      <c r="N19" s="23"/>
      <c r="O19" s="23"/>
      <c r="P19" s="23"/>
      <c r="Q19" s="23"/>
      <c r="R19" s="23"/>
      <c r="S19" s="23"/>
      <c r="T19" s="23"/>
      <c r="U19" s="23"/>
      <c r="V19" s="23"/>
      <c r="W19" s="23"/>
    </row>
    <row r="20" spans="1:23" s="15" customFormat="1">
      <c r="A20" s="94" t="s">
        <v>314</v>
      </c>
      <c r="B20" s="15">
        <v>78953395</v>
      </c>
      <c r="C20" s="48" t="s">
        <v>168</v>
      </c>
      <c r="D20" s="48" t="s">
        <v>170</v>
      </c>
      <c r="E20" s="27">
        <v>45888</v>
      </c>
      <c r="F20" s="27">
        <v>45889</v>
      </c>
      <c r="G20" s="29" t="s">
        <v>191</v>
      </c>
      <c r="H20" s="15" t="s">
        <v>169</v>
      </c>
      <c r="I20" s="51">
        <v>354</v>
      </c>
      <c r="J20" s="51">
        <v>300</v>
      </c>
      <c r="K20" s="50">
        <f t="shared" si="0"/>
        <v>1.18</v>
      </c>
      <c r="L20" s="28" t="s">
        <v>95</v>
      </c>
      <c r="N20" s="23"/>
      <c r="O20" s="23"/>
      <c r="P20" s="23"/>
      <c r="Q20" s="23"/>
      <c r="R20" s="23"/>
      <c r="S20" s="23"/>
      <c r="T20" s="23"/>
      <c r="U20" s="23"/>
      <c r="V20" s="23"/>
      <c r="W20" s="23"/>
    </row>
    <row r="21" spans="1:23" s="17" customFormat="1">
      <c r="A21" s="141"/>
      <c r="B21" s="17">
        <v>78953888</v>
      </c>
      <c r="C21" s="25" t="s">
        <v>255</v>
      </c>
      <c r="D21" s="25" t="s">
        <v>216</v>
      </c>
      <c r="E21" s="24">
        <v>45889</v>
      </c>
      <c r="F21" s="24">
        <v>45896</v>
      </c>
      <c r="G21" s="43" t="s">
        <v>312</v>
      </c>
      <c r="H21" s="17" t="s">
        <v>256</v>
      </c>
      <c r="I21" s="58">
        <v>0</v>
      </c>
      <c r="J21" s="58">
        <v>0</v>
      </c>
      <c r="K21" s="59" t="e">
        <f t="shared" si="0"/>
        <v>#DIV/0!</v>
      </c>
      <c r="L21" s="43" t="s">
        <v>188</v>
      </c>
      <c r="M21" s="17" t="s">
        <v>214</v>
      </c>
      <c r="N21" s="26"/>
      <c r="O21" s="26"/>
      <c r="P21" s="26"/>
      <c r="Q21" s="26"/>
      <c r="R21" s="26"/>
      <c r="S21" s="26"/>
      <c r="T21" s="26"/>
      <c r="U21" s="26"/>
      <c r="V21" s="26"/>
      <c r="W21" s="26"/>
    </row>
    <row r="22" spans="1:23" s="17" customFormat="1">
      <c r="A22" s="141"/>
      <c r="B22" s="17">
        <v>78954099</v>
      </c>
      <c r="C22" s="25" t="s">
        <v>297</v>
      </c>
      <c r="D22" s="25" t="s">
        <v>201</v>
      </c>
      <c r="E22" s="24">
        <v>45890</v>
      </c>
      <c r="F22" s="24">
        <v>45893</v>
      </c>
      <c r="G22" s="43" t="s">
        <v>14</v>
      </c>
      <c r="H22" s="17" t="s">
        <v>151</v>
      </c>
      <c r="I22" s="58">
        <v>0</v>
      </c>
      <c r="J22" s="58">
        <v>0</v>
      </c>
      <c r="K22" s="59" t="e">
        <f t="shared" si="0"/>
        <v>#DIV/0!</v>
      </c>
      <c r="L22" s="43" t="s">
        <v>188</v>
      </c>
      <c r="M22" s="17" t="s">
        <v>214</v>
      </c>
      <c r="N22" s="26"/>
      <c r="O22" s="26"/>
      <c r="P22" s="26"/>
      <c r="Q22" s="26"/>
      <c r="R22" s="26"/>
      <c r="S22" s="26"/>
      <c r="T22" s="26"/>
      <c r="U22" s="26"/>
      <c r="V22" s="26"/>
      <c r="W22" s="26"/>
    </row>
    <row r="23" spans="1:23" s="28" customFormat="1">
      <c r="A23" s="63" t="s">
        <v>314</v>
      </c>
      <c r="B23" s="15">
        <v>78955201</v>
      </c>
      <c r="C23" s="15" t="s">
        <v>394</v>
      </c>
      <c r="D23" s="15" t="s">
        <v>170</v>
      </c>
      <c r="E23" s="44">
        <v>45891</v>
      </c>
      <c r="F23" s="44">
        <v>45893</v>
      </c>
      <c r="G23" s="32" t="s">
        <v>395</v>
      </c>
      <c r="H23" s="28" t="s">
        <v>230</v>
      </c>
      <c r="I23" s="51">
        <v>168</v>
      </c>
      <c r="J23" s="51">
        <v>160</v>
      </c>
      <c r="K23" s="50">
        <f t="shared" si="0"/>
        <v>1.05</v>
      </c>
      <c r="L23" s="28" t="s">
        <v>95</v>
      </c>
      <c r="N23" s="31"/>
      <c r="O23" s="31"/>
      <c r="P23" s="31"/>
      <c r="Q23" s="31"/>
      <c r="R23" s="31"/>
      <c r="S23" s="31"/>
      <c r="T23" s="31"/>
      <c r="U23" s="31"/>
      <c r="V23" s="31"/>
      <c r="W23" s="31"/>
    </row>
    <row r="24" spans="1:23" s="16" customFormat="1" ht="47.25">
      <c r="A24" s="16" t="s">
        <v>314</v>
      </c>
      <c r="B24" s="31">
        <v>78955263</v>
      </c>
      <c r="C24" s="31" t="s">
        <v>398</v>
      </c>
      <c r="D24" s="96" t="s">
        <v>359</v>
      </c>
      <c r="E24" s="44">
        <v>45894</v>
      </c>
      <c r="F24" s="44">
        <v>45899</v>
      </c>
      <c r="G24" s="32" t="s">
        <v>399</v>
      </c>
      <c r="H24" s="28" t="s">
        <v>151</v>
      </c>
      <c r="I24" s="213">
        <v>256</v>
      </c>
      <c r="J24" s="213">
        <v>0</v>
      </c>
      <c r="K24" s="212" t="e">
        <f t="shared" si="0"/>
        <v>#DIV/0!</v>
      </c>
      <c r="L24" s="33" t="s">
        <v>188</v>
      </c>
      <c r="M24" s="214" t="s">
        <v>459</v>
      </c>
      <c r="N24" s="34"/>
      <c r="O24" s="34"/>
      <c r="P24" s="34"/>
      <c r="Q24" s="34"/>
      <c r="R24" s="34"/>
      <c r="S24" s="34"/>
      <c r="T24" s="34"/>
      <c r="U24" s="34"/>
      <c r="V24" s="34"/>
      <c r="W24" s="34"/>
    </row>
    <row r="25" spans="1:23" s="28" customFormat="1">
      <c r="A25" s="63" t="s">
        <v>314</v>
      </c>
      <c r="B25" s="96">
        <v>78954631</v>
      </c>
      <c r="C25" s="115" t="s">
        <v>344</v>
      </c>
      <c r="D25" s="96" t="s">
        <v>238</v>
      </c>
      <c r="E25" s="44">
        <v>45895</v>
      </c>
      <c r="F25" s="44">
        <v>45837</v>
      </c>
      <c r="G25" s="32" t="s">
        <v>363</v>
      </c>
      <c r="H25" s="28" t="s">
        <v>230</v>
      </c>
      <c r="I25" s="51">
        <v>246</v>
      </c>
      <c r="J25" s="51">
        <v>234</v>
      </c>
      <c r="K25" s="50">
        <f t="shared" si="0"/>
        <v>1.0512820512820513</v>
      </c>
      <c r="L25" s="35" t="s">
        <v>222</v>
      </c>
      <c r="M25" s="28" t="s">
        <v>214</v>
      </c>
      <c r="N25" s="31"/>
      <c r="O25" s="31"/>
      <c r="P25" s="31"/>
      <c r="Q25" s="31"/>
      <c r="R25" s="31"/>
      <c r="S25" s="31"/>
      <c r="T25" s="31"/>
      <c r="U25" s="31"/>
      <c r="V25" s="31"/>
      <c r="W25" s="31"/>
    </row>
    <row r="26" spans="1:23" s="31" customFormat="1">
      <c r="A26" s="63" t="s">
        <v>314</v>
      </c>
      <c r="B26" s="15">
        <v>78955089</v>
      </c>
      <c r="C26" s="15" t="s">
        <v>427</v>
      </c>
      <c r="D26" s="15" t="s">
        <v>170</v>
      </c>
      <c r="E26" s="44">
        <v>45895</v>
      </c>
      <c r="F26" s="44">
        <v>45897</v>
      </c>
      <c r="G26" s="32" t="s">
        <v>384</v>
      </c>
      <c r="H26" s="28" t="s">
        <v>151</v>
      </c>
      <c r="I26" s="51">
        <v>336</v>
      </c>
      <c r="J26" s="51">
        <v>320</v>
      </c>
      <c r="K26" s="50">
        <f t="shared" si="0"/>
        <v>1.05</v>
      </c>
      <c r="L26" s="28" t="s">
        <v>95</v>
      </c>
      <c r="M26" s="28"/>
    </row>
    <row r="27" spans="1:23" s="31" customFormat="1">
      <c r="A27" s="16" t="s">
        <v>314</v>
      </c>
      <c r="B27" s="28">
        <v>78955421</v>
      </c>
      <c r="C27" s="28" t="s">
        <v>426</v>
      </c>
      <c r="D27" s="28" t="s">
        <v>170</v>
      </c>
      <c r="E27" s="44">
        <v>45895</v>
      </c>
      <c r="F27" s="44">
        <v>45897</v>
      </c>
      <c r="G27" s="40" t="s">
        <v>434</v>
      </c>
      <c r="H27" s="28" t="s">
        <v>230</v>
      </c>
      <c r="I27" s="51">
        <v>168</v>
      </c>
      <c r="J27" s="51">
        <v>160</v>
      </c>
      <c r="K27" s="50">
        <f t="shared" si="0"/>
        <v>1.05</v>
      </c>
      <c r="L27" s="28" t="s">
        <v>95</v>
      </c>
      <c r="M27" s="28"/>
    </row>
    <row r="28" spans="1:23" s="31" customFormat="1">
      <c r="A28" s="16" t="s">
        <v>314</v>
      </c>
      <c r="B28" s="23">
        <v>78955242</v>
      </c>
      <c r="C28" s="211" t="s">
        <v>396</v>
      </c>
      <c r="D28" s="15" t="s">
        <v>216</v>
      </c>
      <c r="E28" s="44">
        <v>45895</v>
      </c>
      <c r="F28" s="44">
        <v>45897</v>
      </c>
      <c r="G28" s="29">
        <v>208069</v>
      </c>
      <c r="H28" s="28" t="s">
        <v>397</v>
      </c>
      <c r="I28" s="51">
        <v>396</v>
      </c>
      <c r="J28" s="51">
        <v>378</v>
      </c>
      <c r="K28" s="50">
        <f t="shared" si="0"/>
        <v>1.0476190476190477</v>
      </c>
      <c r="L28" s="29" t="s">
        <v>188</v>
      </c>
      <c r="M28" s="15" t="s">
        <v>200</v>
      </c>
    </row>
    <row r="29" spans="1:23" s="31" customFormat="1" ht="15.6" customHeight="1">
      <c r="A29" s="28" t="s">
        <v>314</v>
      </c>
      <c r="B29" s="28">
        <v>78954891</v>
      </c>
      <c r="C29" s="28" t="s">
        <v>366</v>
      </c>
      <c r="D29" s="28" t="s">
        <v>201</v>
      </c>
      <c r="E29" s="44">
        <v>45897</v>
      </c>
      <c r="F29" s="44">
        <v>45900</v>
      </c>
      <c r="G29" s="29">
        <v>164326</v>
      </c>
      <c r="H29" s="28" t="s">
        <v>240</v>
      </c>
      <c r="I29" s="51">
        <v>378</v>
      </c>
      <c r="J29" s="51">
        <v>359.1</v>
      </c>
      <c r="K29" s="50">
        <f t="shared" si="0"/>
        <v>1.0526315789473684</v>
      </c>
      <c r="L29" s="29" t="s">
        <v>188</v>
      </c>
      <c r="M29" s="15" t="s">
        <v>200</v>
      </c>
    </row>
    <row r="30" spans="1:23" s="31" customFormat="1" ht="15.6" customHeight="1">
      <c r="A30" s="31" t="s">
        <v>314</v>
      </c>
      <c r="B30" s="28">
        <v>78954891</v>
      </c>
      <c r="C30" s="28" t="s">
        <v>367</v>
      </c>
      <c r="D30" s="28" t="s">
        <v>201</v>
      </c>
      <c r="E30" s="44">
        <v>45897</v>
      </c>
      <c r="F30" s="44">
        <v>45900</v>
      </c>
      <c r="G30" s="29">
        <v>164326</v>
      </c>
      <c r="H30" s="28" t="s">
        <v>230</v>
      </c>
      <c r="I30" s="51">
        <v>252</v>
      </c>
      <c r="J30" s="51">
        <v>239.4</v>
      </c>
      <c r="K30" s="50">
        <f t="shared" si="0"/>
        <v>1.0526315789473684</v>
      </c>
      <c r="L30" s="29" t="s">
        <v>188</v>
      </c>
      <c r="M30" s="15" t="s">
        <v>200</v>
      </c>
    </row>
    <row r="31" spans="1:23" s="31" customFormat="1" ht="15.6" customHeight="1">
      <c r="A31" s="31" t="s">
        <v>314</v>
      </c>
      <c r="B31" s="15">
        <v>78955418</v>
      </c>
      <c r="C31" s="15" t="s">
        <v>425</v>
      </c>
      <c r="D31" s="28" t="s">
        <v>424</v>
      </c>
      <c r="E31" s="44">
        <v>45897</v>
      </c>
      <c r="F31" s="44">
        <v>45901</v>
      </c>
      <c r="G31" s="31">
        <v>636347</v>
      </c>
      <c r="H31" s="28" t="s">
        <v>227</v>
      </c>
      <c r="I31" s="51">
        <v>424</v>
      </c>
      <c r="J31" s="51">
        <v>403.2</v>
      </c>
      <c r="K31" s="50">
        <f t="shared" si="0"/>
        <v>1.0515873015873016</v>
      </c>
      <c r="L31" s="29" t="s">
        <v>188</v>
      </c>
      <c r="M31" s="15" t="s">
        <v>200</v>
      </c>
    </row>
    <row r="32" spans="1:23" s="15" customFormat="1">
      <c r="A32" s="94" t="s">
        <v>314</v>
      </c>
      <c r="B32" s="15">
        <v>78953815</v>
      </c>
      <c r="C32" s="15" t="s">
        <v>226</v>
      </c>
      <c r="D32" s="15" t="s">
        <v>221</v>
      </c>
      <c r="E32" s="27">
        <v>45898</v>
      </c>
      <c r="F32" s="27">
        <v>45902</v>
      </c>
      <c r="G32" s="29" t="s">
        <v>262</v>
      </c>
      <c r="H32" s="15" t="s">
        <v>225</v>
      </c>
      <c r="I32" s="51">
        <v>604.20000000000005</v>
      </c>
      <c r="J32" s="51">
        <v>684</v>
      </c>
      <c r="K32" s="59">
        <f t="shared" si="0"/>
        <v>0.88333333333333341</v>
      </c>
      <c r="L32" s="35" t="s">
        <v>188</v>
      </c>
      <c r="M32" s="187" t="s">
        <v>273</v>
      </c>
      <c r="N32" s="23"/>
      <c r="O32" s="23"/>
      <c r="P32" s="23"/>
      <c r="Q32" s="23"/>
      <c r="R32" s="23"/>
      <c r="S32" s="23"/>
      <c r="T32" s="23"/>
      <c r="U32" s="23"/>
      <c r="V32" s="23"/>
      <c r="W32" s="23"/>
    </row>
    <row r="33" spans="1:23" s="15" customFormat="1">
      <c r="A33" s="94" t="s">
        <v>314</v>
      </c>
      <c r="B33" s="15">
        <v>78955051</v>
      </c>
      <c r="C33" s="54" t="s">
        <v>378</v>
      </c>
      <c r="D33" s="15" t="s">
        <v>238</v>
      </c>
      <c r="E33" s="27">
        <v>45898</v>
      </c>
      <c r="F33" s="27">
        <v>45901</v>
      </c>
      <c r="G33" s="140" t="s">
        <v>393</v>
      </c>
      <c r="H33" s="28" t="s">
        <v>230</v>
      </c>
      <c r="I33" s="51">
        <v>246</v>
      </c>
      <c r="J33" s="51">
        <v>234</v>
      </c>
      <c r="K33" s="50">
        <f t="shared" si="0"/>
        <v>1.0512820512820513</v>
      </c>
      <c r="L33" s="35" t="s">
        <v>222</v>
      </c>
      <c r="M33" s="28" t="s">
        <v>214</v>
      </c>
      <c r="N33" s="23"/>
      <c r="O33" s="23"/>
      <c r="P33" s="23"/>
      <c r="Q33" s="23"/>
      <c r="R33" s="23"/>
      <c r="S33" s="23"/>
      <c r="T33" s="23"/>
      <c r="U33" s="23"/>
      <c r="V33" s="23"/>
      <c r="W33" s="23"/>
    </row>
    <row r="34" spans="1:23" s="17" customFormat="1">
      <c r="A34" s="141"/>
      <c r="B34" s="17">
        <v>78953814</v>
      </c>
      <c r="C34" s="57" t="s">
        <v>224</v>
      </c>
      <c r="D34" s="17" t="s">
        <v>221</v>
      </c>
      <c r="E34" s="24">
        <v>45899</v>
      </c>
      <c r="F34" s="24">
        <v>45903</v>
      </c>
      <c r="G34" s="17" t="s">
        <v>14</v>
      </c>
      <c r="H34" s="17" t="s">
        <v>225</v>
      </c>
      <c r="I34" s="58">
        <v>0</v>
      </c>
      <c r="J34" s="58">
        <v>0</v>
      </c>
      <c r="K34" s="59" t="e">
        <f t="shared" si="0"/>
        <v>#DIV/0!</v>
      </c>
      <c r="L34" s="126" t="s">
        <v>188</v>
      </c>
      <c r="M34" s="127" t="s">
        <v>214</v>
      </c>
      <c r="N34" s="26"/>
      <c r="O34" s="26"/>
      <c r="P34" s="26"/>
      <c r="Q34" s="26"/>
      <c r="R34" s="26"/>
      <c r="S34" s="26"/>
      <c r="T34" s="26"/>
      <c r="U34" s="26"/>
      <c r="V34" s="26"/>
      <c r="W34" s="26"/>
    </row>
    <row r="35" spans="1:23" s="15" customFormat="1">
      <c r="A35" s="115" t="s">
        <v>314</v>
      </c>
      <c r="B35" s="23">
        <v>78955158</v>
      </c>
      <c r="C35" s="115" t="s">
        <v>383</v>
      </c>
      <c r="D35" s="115" t="s">
        <v>99</v>
      </c>
      <c r="E35" s="27">
        <v>45899</v>
      </c>
      <c r="F35" s="27">
        <v>45900</v>
      </c>
      <c r="G35" s="140" t="s">
        <v>385</v>
      </c>
      <c r="H35" s="28" t="s">
        <v>230</v>
      </c>
      <c r="I35" s="51">
        <v>90</v>
      </c>
      <c r="J35" s="51">
        <v>84</v>
      </c>
      <c r="K35" s="50">
        <f t="shared" si="0"/>
        <v>1.0714285714285714</v>
      </c>
      <c r="L35" s="35" t="s">
        <v>343</v>
      </c>
      <c r="N35" s="23"/>
      <c r="O35" s="23"/>
      <c r="P35" s="23"/>
      <c r="Q35" s="23"/>
      <c r="R35" s="23"/>
      <c r="S35" s="23"/>
      <c r="T35" s="23"/>
      <c r="U35" s="23"/>
      <c r="V35" s="23"/>
      <c r="W35" s="23"/>
    </row>
    <row r="36" spans="1:23" s="15" customFormat="1">
      <c r="E36" s="27"/>
      <c r="F36" s="27"/>
      <c r="H36" s="28"/>
      <c r="I36" s="51"/>
      <c r="J36" s="51"/>
      <c r="K36" s="50"/>
      <c r="L36" s="35"/>
      <c r="N36" s="23"/>
      <c r="O36" s="23"/>
      <c r="P36" s="23"/>
      <c r="Q36" s="23"/>
      <c r="R36" s="23"/>
      <c r="S36" s="23"/>
      <c r="T36" s="23"/>
      <c r="U36" s="23"/>
      <c r="V36" s="23"/>
      <c r="W36" s="23"/>
    </row>
    <row r="37" spans="1:23" s="15" customFormat="1">
      <c r="E37" s="27"/>
      <c r="F37" s="27"/>
      <c r="H37" s="28"/>
      <c r="I37" s="51"/>
      <c r="J37" s="51"/>
      <c r="K37" s="50"/>
      <c r="L37" s="35"/>
      <c r="N37" s="23"/>
      <c r="O37" s="23"/>
      <c r="P37" s="23"/>
      <c r="Q37" s="23"/>
      <c r="R37" s="23"/>
      <c r="S37" s="23"/>
      <c r="T37" s="23"/>
      <c r="U37" s="23"/>
      <c r="V37" s="23"/>
      <c r="W37" s="23"/>
    </row>
    <row r="38" spans="1:23" s="15" customFormat="1">
      <c r="I38" s="51"/>
      <c r="J38" s="51"/>
      <c r="K38" s="50"/>
      <c r="L38" s="28"/>
      <c r="N38" s="23"/>
      <c r="O38" s="23"/>
      <c r="P38" s="23"/>
      <c r="Q38" s="23"/>
      <c r="R38" s="23"/>
      <c r="S38" s="23"/>
      <c r="T38" s="23"/>
      <c r="U38" s="23"/>
      <c r="V38" s="23"/>
      <c r="W38" s="23"/>
    </row>
    <row r="39" spans="1:23"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</row>
    <row r="40" spans="1:23">
      <c r="B40" s="15"/>
      <c r="C40" s="15"/>
      <c r="D40" s="15"/>
      <c r="E40" s="15"/>
      <c r="F40" s="15"/>
      <c r="G40" s="15"/>
      <c r="H40" s="15"/>
      <c r="I40" s="148">
        <f>SUM(I3:I39)</f>
        <v>10574.800000000001</v>
      </c>
      <c r="J40" s="148">
        <f>SUM(J3:J39)</f>
        <v>9868.18</v>
      </c>
      <c r="K40" s="147">
        <f t="shared" ref="K40" si="3">I40/J40</f>
        <v>1.0716059090936729</v>
      </c>
      <c r="L40" s="15"/>
      <c r="M40" s="15"/>
    </row>
    <row r="41" spans="1:23">
      <c r="B41" s="15"/>
      <c r="C41" s="15"/>
      <c r="D41" s="15"/>
      <c r="E41" s="15"/>
      <c r="F41" s="15"/>
      <c r="G41" s="15"/>
      <c r="H41" s="15"/>
      <c r="I41" s="149"/>
      <c r="J41" s="149"/>
      <c r="K41" s="149"/>
      <c r="L41" s="15"/>
      <c r="M41" s="15"/>
    </row>
    <row r="42" spans="1:23">
      <c r="B42" s="15"/>
      <c r="C42" s="15"/>
      <c r="D42" s="15"/>
      <c r="E42" s="15"/>
      <c r="F42" s="15"/>
      <c r="G42" s="15"/>
      <c r="H42" s="15"/>
      <c r="I42" s="149" t="s">
        <v>131</v>
      </c>
      <c r="J42" s="148">
        <f>I40-J40</f>
        <v>706.6200000000008</v>
      </c>
      <c r="K42" s="149"/>
      <c r="L42" s="15"/>
      <c r="M42" s="15"/>
    </row>
    <row r="43" spans="1:23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</row>
    <row r="44" spans="1:23"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</row>
    <row r="45" spans="1:23"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</row>
    <row r="46" spans="1:23"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</row>
    <row r="47" spans="1:23"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</row>
    <row r="48" spans="1:23"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</row>
    <row r="49" spans="2:13"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</row>
    <row r="50" spans="2:13"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</row>
    <row r="51" spans="2:13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</row>
    <row r="52" spans="2:13"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</row>
    <row r="53" spans="2:13"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</row>
    <row r="54" spans="2:13"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</row>
    <row r="55" spans="2:13"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</row>
    <row r="56" spans="2:13"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</row>
    <row r="57" spans="2:13"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</row>
    <row r="58" spans="2:13"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</row>
    <row r="59" spans="2:13"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</row>
    <row r="60" spans="2:13"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</row>
    <row r="61" spans="2:13"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</row>
    <row r="62" spans="2:13"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</row>
    <row r="63" spans="2:13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</row>
    <row r="64" spans="2:13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</row>
    <row r="65" spans="2:13"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</row>
    <row r="66" spans="2:13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</row>
    <row r="67" spans="2:13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</row>
    <row r="68" spans="2:13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</row>
    <row r="69" spans="2:13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</row>
    <row r="70" spans="2:13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</row>
    <row r="71" spans="2:13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</row>
    <row r="72" spans="2:13"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</row>
    <row r="73" spans="2:13"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</row>
    <row r="74" spans="2:13"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</row>
    <row r="75" spans="2:13"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</row>
    <row r="76" spans="2:13"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</row>
    <row r="77" spans="2:13"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</row>
  </sheetData>
  <autoFilter ref="A2:M38" xr:uid="{DA2BC922-5328-4B6B-A2A9-D1BAF857BB61}"/>
  <phoneticPr fontId="3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6868D-FC4F-49BC-B440-7B0754F1A51F}">
  <dimension ref="A2:M30"/>
  <sheetViews>
    <sheetView workbookViewId="0">
      <selection activeCell="C35" sqref="C35"/>
    </sheetView>
  </sheetViews>
  <sheetFormatPr baseColWidth="10" defaultColWidth="8.75" defaultRowHeight="15.75"/>
  <cols>
    <col min="1" max="1" width="8.75" style="31"/>
    <col min="2" max="2" width="18.75" style="31" bestFit="1" customWidth="1"/>
    <col min="3" max="3" width="34.5" style="31" customWidth="1"/>
    <col min="4" max="4" width="25.375" style="31" bestFit="1" customWidth="1"/>
    <col min="5" max="5" width="11.5" style="31" customWidth="1"/>
    <col min="6" max="6" width="13.875" style="31" customWidth="1"/>
    <col min="7" max="7" width="16.25" style="31" customWidth="1"/>
    <col min="8" max="8" width="15.5" style="31" customWidth="1"/>
    <col min="9" max="9" width="17.125" style="31" customWidth="1"/>
    <col min="10" max="11" width="14.5" style="31" customWidth="1"/>
    <col min="12" max="12" width="27.125" style="31" customWidth="1"/>
    <col min="13" max="13" width="72.125" style="31" bestFit="1" customWidth="1"/>
    <col min="14" max="16384" width="8.75" style="31"/>
  </cols>
  <sheetData>
    <row r="2" spans="1:13" s="55" customFormat="1">
      <c r="B2" s="121" t="s">
        <v>138</v>
      </c>
      <c r="C2" s="121" t="s">
        <v>137</v>
      </c>
      <c r="D2" s="121" t="s">
        <v>139</v>
      </c>
      <c r="E2" s="121" t="s">
        <v>140</v>
      </c>
      <c r="F2" s="121" t="s">
        <v>141</v>
      </c>
      <c r="G2" s="41" t="s">
        <v>142</v>
      </c>
      <c r="H2" s="122" t="s">
        <v>143</v>
      </c>
      <c r="I2" s="122" t="s">
        <v>144</v>
      </c>
      <c r="J2" s="122" t="s">
        <v>145</v>
      </c>
      <c r="K2" s="122" t="s">
        <v>118</v>
      </c>
      <c r="L2" s="121" t="s">
        <v>146</v>
      </c>
      <c r="M2" s="128" t="s">
        <v>82</v>
      </c>
    </row>
    <row r="3" spans="1:13" s="23" customFormat="1">
      <c r="A3" s="15" t="s">
        <v>329</v>
      </c>
      <c r="B3" s="35">
        <v>78955589</v>
      </c>
      <c r="C3" s="60" t="s">
        <v>439</v>
      </c>
      <c r="D3" s="35" t="s">
        <v>238</v>
      </c>
      <c r="E3" s="36">
        <v>45905</v>
      </c>
      <c r="F3" s="36">
        <v>45907</v>
      </c>
      <c r="G3" s="20" t="s">
        <v>438</v>
      </c>
      <c r="H3" s="29" t="s">
        <v>230</v>
      </c>
      <c r="I3" s="51">
        <v>164</v>
      </c>
      <c r="J3" s="51">
        <v>156</v>
      </c>
      <c r="K3" s="50">
        <f t="shared" ref="K3:K18" si="0">I3/J3</f>
        <v>1.0512820512820513</v>
      </c>
      <c r="L3" s="28" t="s">
        <v>222</v>
      </c>
      <c r="M3" s="28" t="s">
        <v>214</v>
      </c>
    </row>
    <row r="4" spans="1:13" s="15" customFormat="1">
      <c r="A4" s="15" t="s">
        <v>329</v>
      </c>
      <c r="B4" s="15">
        <v>78953872</v>
      </c>
      <c r="C4" s="15" t="s">
        <v>249</v>
      </c>
      <c r="D4" s="35" t="s">
        <v>221</v>
      </c>
      <c r="E4" s="36">
        <v>45908</v>
      </c>
      <c r="F4" s="36">
        <v>45915</v>
      </c>
      <c r="G4" s="40" t="s">
        <v>301</v>
      </c>
      <c r="H4" s="29" t="s">
        <v>230</v>
      </c>
      <c r="I4" s="51">
        <v>742</v>
      </c>
      <c r="J4" s="51">
        <v>840</v>
      </c>
      <c r="K4" s="222">
        <f t="shared" si="0"/>
        <v>0.8833333333333333</v>
      </c>
      <c r="L4" s="35" t="s">
        <v>188</v>
      </c>
      <c r="M4" s="215" t="s">
        <v>382</v>
      </c>
    </row>
    <row r="5" spans="1:13" s="216" customFormat="1">
      <c r="B5" s="217">
        <v>78953080</v>
      </c>
      <c r="C5" s="216" t="s">
        <v>150</v>
      </c>
      <c r="D5" s="216" t="s">
        <v>149</v>
      </c>
      <c r="E5" s="218">
        <v>45913</v>
      </c>
      <c r="F5" s="218">
        <v>45915</v>
      </c>
      <c r="G5" s="216" t="s">
        <v>158</v>
      </c>
      <c r="H5" s="217" t="s">
        <v>151</v>
      </c>
      <c r="I5" s="219">
        <v>0</v>
      </c>
      <c r="J5" s="219">
        <v>0</v>
      </c>
      <c r="K5" s="220" t="e">
        <f t="shared" si="0"/>
        <v>#DIV/0!</v>
      </c>
      <c r="L5" s="216" t="s">
        <v>157</v>
      </c>
    </row>
    <row r="6" spans="1:13" s="17" customFormat="1">
      <c r="A6" s="141"/>
      <c r="B6" s="17">
        <v>78955040</v>
      </c>
      <c r="C6" s="17" t="s">
        <v>376</v>
      </c>
      <c r="D6" s="17" t="s">
        <v>211</v>
      </c>
      <c r="E6" s="125">
        <v>45911</v>
      </c>
      <c r="F6" s="125">
        <v>45919</v>
      </c>
      <c r="G6" s="26" t="s">
        <v>377</v>
      </c>
      <c r="H6" s="43" t="s">
        <v>89</v>
      </c>
      <c r="I6" s="58">
        <v>0</v>
      </c>
      <c r="J6" s="58">
        <v>0</v>
      </c>
      <c r="K6" s="59" t="e">
        <f t="shared" si="0"/>
        <v>#DIV/0!</v>
      </c>
      <c r="L6" s="43" t="s">
        <v>188</v>
      </c>
      <c r="M6" s="17" t="s">
        <v>214</v>
      </c>
    </row>
    <row r="7" spans="1:13" s="17" customFormat="1">
      <c r="A7" s="141"/>
      <c r="B7" s="17">
        <v>78950731</v>
      </c>
      <c r="C7" s="145" t="s">
        <v>335</v>
      </c>
      <c r="D7" s="17" t="s">
        <v>212</v>
      </c>
      <c r="E7" s="24">
        <v>45915</v>
      </c>
      <c r="F7" s="144">
        <v>45917</v>
      </c>
      <c r="G7" s="25" t="s">
        <v>327</v>
      </c>
      <c r="H7" s="43" t="s">
        <v>89</v>
      </c>
      <c r="I7" s="58">
        <v>0</v>
      </c>
      <c r="J7" s="58">
        <v>0</v>
      </c>
      <c r="K7" s="59" t="e">
        <f t="shared" si="0"/>
        <v>#DIV/0!</v>
      </c>
      <c r="L7" s="17" t="s">
        <v>337</v>
      </c>
      <c r="M7" s="17" t="s">
        <v>22</v>
      </c>
    </row>
    <row r="8" spans="1:13" s="28" customFormat="1">
      <c r="A8" s="28" t="s">
        <v>329</v>
      </c>
      <c r="B8" s="15">
        <v>78954336</v>
      </c>
      <c r="C8" s="15" t="s">
        <v>336</v>
      </c>
      <c r="D8" s="28" t="s">
        <v>212</v>
      </c>
      <c r="E8" s="44">
        <v>45915</v>
      </c>
      <c r="F8" s="49">
        <v>45917</v>
      </c>
      <c r="G8" s="40" t="s">
        <v>346</v>
      </c>
      <c r="H8" s="29" t="s">
        <v>230</v>
      </c>
      <c r="I8" s="51">
        <v>136</v>
      </c>
      <c r="J8" s="51">
        <v>128</v>
      </c>
      <c r="K8" s="50">
        <f t="shared" si="0"/>
        <v>1.0625</v>
      </c>
      <c r="L8" s="28" t="s">
        <v>328</v>
      </c>
      <c r="M8" s="28" t="s">
        <v>334</v>
      </c>
    </row>
    <row r="9" spans="1:13" s="28" customFormat="1">
      <c r="A9" s="28" t="s">
        <v>329</v>
      </c>
      <c r="B9" s="15">
        <v>78955670</v>
      </c>
      <c r="C9" s="54" t="s">
        <v>436</v>
      </c>
      <c r="D9" s="28" t="s">
        <v>211</v>
      </c>
      <c r="E9" s="44">
        <v>45919</v>
      </c>
      <c r="F9" s="44">
        <v>45833</v>
      </c>
      <c r="G9" s="140" t="s">
        <v>437</v>
      </c>
      <c r="H9" s="29" t="s">
        <v>227</v>
      </c>
      <c r="I9" s="51">
        <v>972</v>
      </c>
      <c r="J9" s="51">
        <v>924</v>
      </c>
      <c r="K9" s="50">
        <f t="shared" si="0"/>
        <v>1.051948051948052</v>
      </c>
      <c r="L9" s="35" t="s">
        <v>188</v>
      </c>
      <c r="M9" s="15" t="s">
        <v>214</v>
      </c>
    </row>
    <row r="10" spans="1:13" s="133" customFormat="1">
      <c r="A10" s="142"/>
      <c r="B10" s="133">
        <v>78952752</v>
      </c>
      <c r="C10" s="17" t="s">
        <v>326</v>
      </c>
      <c r="D10" s="133" t="s">
        <v>99</v>
      </c>
      <c r="E10" s="134">
        <v>45920</v>
      </c>
      <c r="F10" s="134">
        <v>45921</v>
      </c>
      <c r="G10" s="137" t="s">
        <v>190</v>
      </c>
      <c r="H10" s="133" t="s">
        <v>89</v>
      </c>
      <c r="I10" s="135">
        <v>0</v>
      </c>
      <c r="J10" s="135">
        <v>0</v>
      </c>
      <c r="K10" s="136" t="e">
        <f t="shared" si="0"/>
        <v>#DIV/0!</v>
      </c>
      <c r="L10" s="133" t="s">
        <v>114</v>
      </c>
    </row>
    <row r="11" spans="1:13" s="28" customFormat="1">
      <c r="A11" s="63" t="s">
        <v>329</v>
      </c>
      <c r="B11" s="15">
        <v>78955487</v>
      </c>
      <c r="C11" s="15" t="s">
        <v>432</v>
      </c>
      <c r="D11" s="28" t="s">
        <v>431</v>
      </c>
      <c r="E11" s="44">
        <v>45920</v>
      </c>
      <c r="F11" s="44">
        <v>45934</v>
      </c>
      <c r="G11" s="40" t="s">
        <v>435</v>
      </c>
      <c r="H11" s="29" t="s">
        <v>230</v>
      </c>
      <c r="I11" s="51">
        <v>1344</v>
      </c>
      <c r="J11" s="51">
        <v>1274</v>
      </c>
      <c r="K11" s="50">
        <f t="shared" si="0"/>
        <v>1.054945054945055</v>
      </c>
      <c r="L11" s="28" t="s">
        <v>222</v>
      </c>
      <c r="M11" s="28" t="s">
        <v>214</v>
      </c>
    </row>
    <row r="12" spans="1:13" s="28" customFormat="1" ht="15" customHeight="1">
      <c r="A12" s="63" t="s">
        <v>329</v>
      </c>
      <c r="B12" s="28">
        <v>78954731</v>
      </c>
      <c r="C12" s="15" t="s">
        <v>354</v>
      </c>
      <c r="D12" s="28" t="s">
        <v>211</v>
      </c>
      <c r="E12" s="44">
        <v>45922</v>
      </c>
      <c r="F12" s="44">
        <v>45898</v>
      </c>
      <c r="G12" s="29">
        <v>205617</v>
      </c>
      <c r="H12" s="29" t="s">
        <v>230</v>
      </c>
      <c r="I12" s="51">
        <v>1134</v>
      </c>
      <c r="J12" s="51">
        <v>1078</v>
      </c>
      <c r="K12" s="50">
        <f t="shared" si="0"/>
        <v>1.051948051948052</v>
      </c>
      <c r="L12" s="35" t="s">
        <v>188</v>
      </c>
      <c r="M12" s="15" t="s">
        <v>214</v>
      </c>
    </row>
    <row r="13" spans="1:13" s="17" customFormat="1" ht="15" customHeight="1">
      <c r="A13" s="141"/>
      <c r="B13" s="17">
        <v>78955081</v>
      </c>
      <c r="C13" s="17" t="s">
        <v>381</v>
      </c>
      <c r="D13" s="17" t="s">
        <v>211</v>
      </c>
      <c r="E13" s="24">
        <v>45926</v>
      </c>
      <c r="F13" s="24">
        <v>45929</v>
      </c>
      <c r="G13" s="43" t="s">
        <v>445</v>
      </c>
      <c r="H13" s="43" t="s">
        <v>287</v>
      </c>
      <c r="I13" s="58">
        <v>0</v>
      </c>
      <c r="J13" s="58">
        <v>0</v>
      </c>
      <c r="K13" s="59" t="e">
        <f t="shared" si="0"/>
        <v>#DIV/0!</v>
      </c>
      <c r="L13" s="43" t="s">
        <v>188</v>
      </c>
      <c r="M13" s="17" t="s">
        <v>214</v>
      </c>
    </row>
    <row r="14" spans="1:13" s="17" customFormat="1" ht="15" customHeight="1">
      <c r="B14" s="17">
        <v>78955788</v>
      </c>
      <c r="C14" s="26" t="s">
        <v>442</v>
      </c>
      <c r="D14" s="17" t="s">
        <v>99</v>
      </c>
      <c r="E14" s="24">
        <v>45926</v>
      </c>
      <c r="F14" s="24">
        <v>45930</v>
      </c>
      <c r="G14" s="221" t="s">
        <v>444</v>
      </c>
      <c r="H14" s="43" t="s">
        <v>443</v>
      </c>
      <c r="I14" s="58">
        <v>0</v>
      </c>
      <c r="J14" s="58">
        <v>0</v>
      </c>
      <c r="K14" s="59" t="e">
        <f t="shared" si="0"/>
        <v>#DIV/0!</v>
      </c>
      <c r="L14" s="133" t="s">
        <v>114</v>
      </c>
    </row>
    <row r="15" spans="1:13" s="28" customFormat="1">
      <c r="A15" s="63" t="s">
        <v>329</v>
      </c>
      <c r="B15" s="15">
        <v>78953792</v>
      </c>
      <c r="C15" s="15" t="s">
        <v>213</v>
      </c>
      <c r="D15" s="28" t="s">
        <v>211</v>
      </c>
      <c r="E15" s="44">
        <v>45927</v>
      </c>
      <c r="F15" s="44">
        <v>45932</v>
      </c>
      <c r="G15" s="29">
        <v>200352</v>
      </c>
      <c r="H15" s="28" t="s">
        <v>151</v>
      </c>
      <c r="I15" s="51">
        <v>1620</v>
      </c>
      <c r="J15" s="51">
        <v>1540</v>
      </c>
      <c r="K15" s="50">
        <f t="shared" si="0"/>
        <v>1.051948051948052</v>
      </c>
      <c r="L15" s="35" t="s">
        <v>188</v>
      </c>
      <c r="M15" s="28" t="s">
        <v>214</v>
      </c>
    </row>
    <row r="16" spans="1:13" s="28" customFormat="1">
      <c r="A16" s="28" t="s">
        <v>329</v>
      </c>
      <c r="B16" s="15">
        <v>81545466</v>
      </c>
      <c r="C16" s="15" t="s">
        <v>446</v>
      </c>
      <c r="D16" s="28" t="s">
        <v>238</v>
      </c>
      <c r="E16" s="44">
        <v>45927</v>
      </c>
      <c r="F16" s="44">
        <v>45930</v>
      </c>
      <c r="G16" s="29" t="s">
        <v>449</v>
      </c>
      <c r="H16" s="28" t="s">
        <v>447</v>
      </c>
      <c r="I16" s="51">
        <v>168</v>
      </c>
      <c r="J16" s="51">
        <v>162</v>
      </c>
      <c r="K16" s="50">
        <f t="shared" si="0"/>
        <v>1.037037037037037</v>
      </c>
      <c r="L16" s="35" t="s">
        <v>448</v>
      </c>
    </row>
    <row r="17" spans="1:13" s="28" customFormat="1">
      <c r="A17" s="28" t="s">
        <v>329</v>
      </c>
      <c r="B17" s="15">
        <v>81545692</v>
      </c>
      <c r="C17" s="95" t="s">
        <v>458</v>
      </c>
      <c r="D17" s="15" t="s">
        <v>170</v>
      </c>
      <c r="E17" s="44">
        <v>45927</v>
      </c>
      <c r="F17" s="44">
        <v>45931</v>
      </c>
      <c r="G17" s="140" t="s">
        <v>474</v>
      </c>
      <c r="H17" s="28" t="s">
        <v>462</v>
      </c>
      <c r="I17" s="51">
        <v>252</v>
      </c>
      <c r="J17" s="51">
        <v>240</v>
      </c>
      <c r="K17" s="212">
        <f t="shared" si="0"/>
        <v>1.05</v>
      </c>
      <c r="L17" s="28" t="s">
        <v>95</v>
      </c>
      <c r="M17" s="187" t="s">
        <v>487</v>
      </c>
    </row>
    <row r="18" spans="1:13" s="28" customFormat="1">
      <c r="A18" s="28" t="s">
        <v>329</v>
      </c>
      <c r="B18" s="263">
        <v>81545691</v>
      </c>
      <c r="C18" s="15" t="s">
        <v>477</v>
      </c>
      <c r="D18" s="28" t="s">
        <v>460</v>
      </c>
      <c r="E18" s="44">
        <v>45927</v>
      </c>
      <c r="F18" s="44">
        <v>45932</v>
      </c>
      <c r="G18" s="32" t="s">
        <v>479</v>
      </c>
      <c r="H18" s="28" t="s">
        <v>461</v>
      </c>
      <c r="I18" s="51">
        <v>530</v>
      </c>
      <c r="J18" s="51">
        <v>504</v>
      </c>
      <c r="K18" s="50">
        <f t="shared" si="0"/>
        <v>1.0515873015873016</v>
      </c>
      <c r="L18" s="35" t="s">
        <v>188</v>
      </c>
    </row>
    <row r="19" spans="1:13" s="28" customFormat="1">
      <c r="A19" s="28" t="s">
        <v>329</v>
      </c>
      <c r="B19" s="264"/>
      <c r="C19" s="54" t="s">
        <v>478</v>
      </c>
      <c r="D19" s="28" t="s">
        <v>460</v>
      </c>
      <c r="E19" s="44">
        <v>45927</v>
      </c>
      <c r="F19" s="44">
        <v>45932</v>
      </c>
      <c r="G19" s="32" t="s">
        <v>479</v>
      </c>
      <c r="H19" s="28" t="s">
        <v>461</v>
      </c>
      <c r="I19" s="51">
        <v>530</v>
      </c>
      <c r="J19" s="51">
        <v>504</v>
      </c>
      <c r="K19" s="50">
        <f t="shared" ref="K19:K20" si="1">I19/J19</f>
        <v>1.0515873015873016</v>
      </c>
      <c r="L19" s="35" t="s">
        <v>188</v>
      </c>
    </row>
    <row r="20" spans="1:13" s="28" customFormat="1">
      <c r="A20" s="28" t="s">
        <v>329</v>
      </c>
      <c r="B20" s="15">
        <v>81545700</v>
      </c>
      <c r="C20" s="15" t="s">
        <v>475</v>
      </c>
      <c r="D20" s="28" t="s">
        <v>460</v>
      </c>
      <c r="E20" s="44">
        <v>45927</v>
      </c>
      <c r="F20" s="44">
        <v>45941</v>
      </c>
      <c r="G20" s="40" t="s">
        <v>480</v>
      </c>
      <c r="H20" s="28" t="s">
        <v>476</v>
      </c>
      <c r="I20" s="51">
        <v>1162</v>
      </c>
      <c r="J20" s="51">
        <v>1125.5999999999999</v>
      </c>
      <c r="K20" s="50">
        <f t="shared" si="1"/>
        <v>1.0323383084577116</v>
      </c>
      <c r="L20" s="35" t="s">
        <v>188</v>
      </c>
    </row>
    <row r="21" spans="1:13" s="28" customFormat="1">
      <c r="G21" s="223"/>
      <c r="I21" s="51"/>
      <c r="J21" s="51"/>
      <c r="K21" s="50"/>
    </row>
    <row r="22" spans="1:13" s="28" customFormat="1">
      <c r="I22" s="51"/>
      <c r="J22" s="51"/>
      <c r="K22" s="50"/>
    </row>
    <row r="23" spans="1:13" s="28" customFormat="1">
      <c r="I23" s="51"/>
      <c r="J23" s="51"/>
      <c r="K23" s="50"/>
    </row>
    <row r="24" spans="1:13">
      <c r="B24" s="109"/>
      <c r="C24" s="109"/>
      <c r="D24" s="109"/>
      <c r="E24" s="109"/>
      <c r="F24" s="109"/>
      <c r="G24" s="109"/>
      <c r="H24" s="109"/>
      <c r="I24" s="74"/>
      <c r="J24" s="74"/>
      <c r="K24" s="75"/>
      <c r="L24" s="109"/>
      <c r="M24" s="109"/>
    </row>
    <row r="25" spans="1:13">
      <c r="B25" s="28"/>
      <c r="C25" s="28"/>
      <c r="D25" s="28"/>
      <c r="E25" s="28"/>
      <c r="F25" s="28"/>
      <c r="G25" s="28"/>
      <c r="H25" s="28"/>
      <c r="I25" s="146">
        <f>SUM(I3:I24)</f>
        <v>8754</v>
      </c>
      <c r="J25" s="146">
        <f>SUM(J3:J24)</f>
        <v>8475.6</v>
      </c>
      <c r="K25" s="147">
        <f>I25/J25</f>
        <v>1.0328472320543678</v>
      </c>
      <c r="L25" s="28"/>
      <c r="M25" s="28"/>
    </row>
    <row r="26" spans="1:13">
      <c r="B26" s="28"/>
      <c r="C26" s="28"/>
      <c r="D26" s="28"/>
      <c r="E26" s="28"/>
      <c r="F26" s="28"/>
      <c r="G26" s="28"/>
      <c r="H26" s="28"/>
      <c r="I26" s="146"/>
      <c r="J26" s="146"/>
      <c r="K26" s="147"/>
      <c r="L26" s="28"/>
      <c r="M26" s="28"/>
    </row>
    <row r="27" spans="1:13">
      <c r="B27" s="28"/>
      <c r="C27" s="28"/>
      <c r="D27" s="28"/>
      <c r="E27" s="28"/>
      <c r="F27" s="28"/>
      <c r="G27" s="28"/>
      <c r="H27" s="28"/>
      <c r="I27" s="146" t="s">
        <v>131</v>
      </c>
      <c r="J27" s="146">
        <f>I25-J25</f>
        <v>278.39999999999964</v>
      </c>
      <c r="K27" s="147"/>
      <c r="L27" s="28"/>
      <c r="M27" s="28"/>
    </row>
    <row r="28" spans="1:13">
      <c r="B28" s="28"/>
      <c r="C28" s="28"/>
      <c r="D28" s="28"/>
      <c r="E28" s="28"/>
      <c r="F28" s="28"/>
      <c r="G28" s="28"/>
      <c r="H28" s="28"/>
      <c r="I28" s="51"/>
      <c r="J28" s="51"/>
      <c r="K28" s="50"/>
      <c r="L28" s="28"/>
      <c r="M28" s="28"/>
    </row>
    <row r="29" spans="1:13">
      <c r="B29" s="28"/>
      <c r="C29" s="28"/>
      <c r="D29" s="28"/>
      <c r="E29" s="28"/>
      <c r="F29" s="28"/>
      <c r="G29" s="28"/>
      <c r="H29" s="28"/>
      <c r="I29" s="51"/>
      <c r="J29" s="51"/>
      <c r="K29" s="28"/>
      <c r="L29" s="28"/>
      <c r="M29" s="28"/>
    </row>
    <row r="30" spans="1:13">
      <c r="B30" s="28"/>
      <c r="C30" s="28"/>
      <c r="D30" s="28"/>
      <c r="E30" s="28"/>
      <c r="F30" s="28"/>
      <c r="G30" s="28"/>
      <c r="H30" s="28"/>
      <c r="I30" s="51"/>
      <c r="J30" s="51"/>
      <c r="K30" s="28"/>
      <c r="L30" s="28"/>
      <c r="M30" s="28"/>
    </row>
  </sheetData>
  <autoFilter ref="A2:M22" xr:uid="{58C6868D-FC4F-49BC-B440-7B0754F1A51F}"/>
  <mergeCells count="1">
    <mergeCell ref="B18:B19"/>
  </mergeCells>
  <phoneticPr fontId="3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D188-5A00-4525-9187-A2D1FA21817E}">
  <dimension ref="A2:N73"/>
  <sheetViews>
    <sheetView topLeftCell="B4" zoomScaleNormal="100" workbookViewId="0">
      <selection activeCell="B3" sqref="A3:XFD11"/>
    </sheetView>
  </sheetViews>
  <sheetFormatPr baseColWidth="10" defaultColWidth="8.75" defaultRowHeight="15.75"/>
  <cols>
    <col min="1" max="1" width="8.75" style="31"/>
    <col min="2" max="2" width="16.625" style="31" bestFit="1" customWidth="1"/>
    <col min="3" max="3" width="30.125" style="31" customWidth="1"/>
    <col min="4" max="4" width="25.125" style="31" bestFit="1" customWidth="1"/>
    <col min="5" max="5" width="12.25" style="31" bestFit="1" customWidth="1"/>
    <col min="6" max="6" width="13.375" style="31" bestFit="1" customWidth="1"/>
    <col min="7" max="7" width="21" style="31" bestFit="1" customWidth="1"/>
    <col min="8" max="8" width="16.125" style="31" bestFit="1" customWidth="1"/>
    <col min="9" max="9" width="20.25" style="31" bestFit="1" customWidth="1"/>
    <col min="10" max="10" width="13.25" style="31" bestFit="1" customWidth="1"/>
    <col min="11" max="11" width="11.625" style="31" customWidth="1"/>
    <col min="12" max="12" width="22.625" style="31" bestFit="1" customWidth="1"/>
    <col min="13" max="13" width="22.625" style="31" customWidth="1"/>
    <col min="14" max="14" width="36.5" style="31" bestFit="1" customWidth="1"/>
    <col min="15" max="16384" width="8.75" style="31"/>
  </cols>
  <sheetData>
    <row r="2" spans="1:14" s="55" customFormat="1">
      <c r="B2" s="21" t="s">
        <v>138</v>
      </c>
      <c r="C2" s="21" t="s">
        <v>137</v>
      </c>
      <c r="D2" s="21" t="s">
        <v>139</v>
      </c>
      <c r="E2" s="21" t="s">
        <v>140</v>
      </c>
      <c r="F2" s="21" t="s">
        <v>141</v>
      </c>
      <c r="G2" s="41" t="s">
        <v>142</v>
      </c>
      <c r="H2" s="41" t="s">
        <v>143</v>
      </c>
      <c r="I2" s="41" t="s">
        <v>144</v>
      </c>
      <c r="J2" s="41" t="s">
        <v>145</v>
      </c>
      <c r="K2" s="41" t="s">
        <v>118</v>
      </c>
      <c r="L2" s="21" t="s">
        <v>146</v>
      </c>
      <c r="M2" s="21" t="s">
        <v>547</v>
      </c>
      <c r="N2" s="22" t="s">
        <v>82</v>
      </c>
    </row>
    <row r="3" spans="1:14" s="253" customFormat="1">
      <c r="A3" s="253" t="s">
        <v>314</v>
      </c>
      <c r="B3" s="254">
        <v>81545472</v>
      </c>
      <c r="C3" s="254" t="s">
        <v>472</v>
      </c>
      <c r="D3" s="255" t="s">
        <v>450</v>
      </c>
      <c r="E3" s="256">
        <v>45935</v>
      </c>
      <c r="F3" s="256">
        <v>45937</v>
      </c>
      <c r="G3" s="257" t="s">
        <v>451</v>
      </c>
      <c r="H3" s="258" t="s">
        <v>194</v>
      </c>
      <c r="I3" s="259">
        <v>176</v>
      </c>
      <c r="J3" s="259">
        <v>168</v>
      </c>
      <c r="K3" s="260">
        <f t="shared" ref="K3:K50" si="0">I3/J3</f>
        <v>1.0476190476190477</v>
      </c>
      <c r="L3" s="261" t="s">
        <v>188</v>
      </c>
      <c r="M3" s="261"/>
      <c r="N3" s="258"/>
    </row>
    <row r="4" spans="1:14">
      <c r="A4" s="31" t="s">
        <v>314</v>
      </c>
      <c r="B4" s="28">
        <v>78955390</v>
      </c>
      <c r="C4" s="28" t="s">
        <v>421</v>
      </c>
      <c r="D4" s="28" t="s">
        <v>420</v>
      </c>
      <c r="E4" s="44">
        <v>45936</v>
      </c>
      <c r="F4" s="44">
        <v>45940</v>
      </c>
      <c r="G4" s="40" t="s">
        <v>423</v>
      </c>
      <c r="H4" s="28" t="s">
        <v>422</v>
      </c>
      <c r="I4" s="51">
        <v>192</v>
      </c>
      <c r="J4" s="51">
        <v>182</v>
      </c>
      <c r="K4" s="50">
        <f t="shared" si="0"/>
        <v>1.054945054945055</v>
      </c>
      <c r="L4" s="28" t="s">
        <v>276</v>
      </c>
      <c r="M4" s="28"/>
      <c r="N4" s="28" t="s">
        <v>214</v>
      </c>
    </row>
    <row r="5" spans="1:14">
      <c r="A5" s="31" t="s">
        <v>314</v>
      </c>
      <c r="B5" s="15">
        <v>78955778</v>
      </c>
      <c r="C5" s="32" t="s">
        <v>440</v>
      </c>
      <c r="D5" s="28" t="s">
        <v>359</v>
      </c>
      <c r="E5" s="44">
        <v>45936</v>
      </c>
      <c r="F5" s="44">
        <v>45937</v>
      </c>
      <c r="G5" s="32" t="s">
        <v>441</v>
      </c>
      <c r="H5" s="28" t="s">
        <v>471</v>
      </c>
      <c r="I5" s="51">
        <v>729.6</v>
      </c>
      <c r="J5" s="51">
        <v>694.24</v>
      </c>
      <c r="K5" s="50">
        <f t="shared" si="0"/>
        <v>1.0509333947914266</v>
      </c>
      <c r="L5" s="29" t="s">
        <v>188</v>
      </c>
      <c r="M5" s="29"/>
      <c r="N5" s="28" t="s">
        <v>214</v>
      </c>
    </row>
    <row r="6" spans="1:14" s="26" customFormat="1">
      <c r="B6" s="17">
        <v>81545585</v>
      </c>
      <c r="C6" s="17" t="s">
        <v>463</v>
      </c>
      <c r="D6" s="17" t="s">
        <v>238</v>
      </c>
      <c r="E6" s="24">
        <v>45938</v>
      </c>
      <c r="F6" s="24">
        <v>45940</v>
      </c>
      <c r="G6" s="17" t="s">
        <v>466</v>
      </c>
      <c r="H6" s="17" t="s">
        <v>295</v>
      </c>
      <c r="I6" s="58">
        <v>0</v>
      </c>
      <c r="J6" s="58">
        <v>0</v>
      </c>
      <c r="K6" s="59" t="e">
        <f t="shared" si="0"/>
        <v>#DIV/0!</v>
      </c>
      <c r="L6" s="43" t="s">
        <v>448</v>
      </c>
      <c r="M6" s="43"/>
      <c r="N6" s="17"/>
    </row>
    <row r="7" spans="1:14">
      <c r="A7" s="31" t="s">
        <v>314</v>
      </c>
      <c r="B7" s="28">
        <v>81545943</v>
      </c>
      <c r="C7" s="28" t="s">
        <v>520</v>
      </c>
      <c r="D7" s="28" t="s">
        <v>521</v>
      </c>
      <c r="E7" s="44">
        <v>45938</v>
      </c>
      <c r="F7" s="44">
        <v>45943</v>
      </c>
      <c r="G7" s="140" t="s">
        <v>523</v>
      </c>
      <c r="H7" s="28" t="s">
        <v>194</v>
      </c>
      <c r="I7" s="51">
        <v>930</v>
      </c>
      <c r="J7" s="51">
        <v>735</v>
      </c>
      <c r="K7" s="50">
        <f t="shared" si="0"/>
        <v>1.2653061224489797</v>
      </c>
      <c r="L7" s="29" t="s">
        <v>188</v>
      </c>
      <c r="M7" s="29"/>
      <c r="N7" s="28"/>
    </row>
    <row r="8" spans="1:14">
      <c r="A8" s="31" t="s">
        <v>314</v>
      </c>
      <c r="B8" s="28">
        <v>81545852</v>
      </c>
      <c r="C8" s="32" t="s">
        <v>496</v>
      </c>
      <c r="D8" s="28" t="s">
        <v>223</v>
      </c>
      <c r="E8" s="44">
        <v>45939</v>
      </c>
      <c r="F8" s="44">
        <v>45940</v>
      </c>
      <c r="G8" s="123" t="s">
        <v>522</v>
      </c>
      <c r="H8" s="28" t="s">
        <v>508</v>
      </c>
      <c r="I8" s="51">
        <v>106</v>
      </c>
      <c r="J8" s="51">
        <v>91</v>
      </c>
      <c r="K8" s="50">
        <f t="shared" si="0"/>
        <v>1.1648351648351649</v>
      </c>
      <c r="L8" s="29" t="s">
        <v>448</v>
      </c>
      <c r="M8" s="29"/>
      <c r="N8" s="28"/>
    </row>
    <row r="9" spans="1:14">
      <c r="A9" s="31" t="s">
        <v>314</v>
      </c>
      <c r="B9" s="28">
        <v>81545852</v>
      </c>
      <c r="C9" s="60" t="s">
        <v>503</v>
      </c>
      <c r="D9" s="28" t="s">
        <v>223</v>
      </c>
      <c r="E9" s="44">
        <v>45939</v>
      </c>
      <c r="F9" s="44">
        <v>45940</v>
      </c>
      <c r="G9" s="123" t="s">
        <v>522</v>
      </c>
      <c r="H9" s="28" t="s">
        <v>509</v>
      </c>
      <c r="I9" s="51">
        <v>142</v>
      </c>
      <c r="J9" s="51">
        <v>136.5</v>
      </c>
      <c r="K9" s="50">
        <f t="shared" si="0"/>
        <v>1.0402930402930404</v>
      </c>
      <c r="L9" s="29" t="s">
        <v>448</v>
      </c>
      <c r="M9" s="29"/>
      <c r="N9" s="28"/>
    </row>
    <row r="10" spans="1:14">
      <c r="A10" s="31" t="s">
        <v>314</v>
      </c>
      <c r="B10" s="28">
        <v>81545852</v>
      </c>
      <c r="C10" s="60" t="s">
        <v>504</v>
      </c>
      <c r="D10" s="28" t="s">
        <v>223</v>
      </c>
      <c r="E10" s="44">
        <v>45939</v>
      </c>
      <c r="F10" s="44">
        <v>45940</v>
      </c>
      <c r="G10" s="123" t="s">
        <v>522</v>
      </c>
      <c r="H10" s="28" t="s">
        <v>509</v>
      </c>
      <c r="I10" s="51">
        <v>142</v>
      </c>
      <c r="J10" s="51">
        <v>136.5</v>
      </c>
      <c r="K10" s="50">
        <f t="shared" si="0"/>
        <v>1.0402930402930404</v>
      </c>
      <c r="L10" s="29" t="s">
        <v>448</v>
      </c>
      <c r="M10" s="29"/>
      <c r="N10" s="28"/>
    </row>
    <row r="11" spans="1:14">
      <c r="A11" s="20" t="s">
        <v>314</v>
      </c>
      <c r="B11" s="28">
        <v>81545861</v>
      </c>
      <c r="C11" s="60" t="s">
        <v>498</v>
      </c>
      <c r="D11" s="28" t="s">
        <v>456</v>
      </c>
      <c r="E11" s="44">
        <v>45939</v>
      </c>
      <c r="F11" s="44">
        <v>45942</v>
      </c>
      <c r="G11" s="40" t="s">
        <v>514</v>
      </c>
      <c r="H11" s="28" t="s">
        <v>497</v>
      </c>
      <c r="I11" s="51">
        <v>360</v>
      </c>
      <c r="J11" s="51">
        <v>324</v>
      </c>
      <c r="K11" s="50">
        <f t="shared" si="0"/>
        <v>1.1111111111111112</v>
      </c>
      <c r="L11" s="29" t="s">
        <v>502</v>
      </c>
      <c r="M11" s="29"/>
      <c r="N11" s="28"/>
    </row>
    <row r="12" spans="1:14">
      <c r="A12" s="230" t="s">
        <v>314</v>
      </c>
      <c r="B12" s="96">
        <v>81545861</v>
      </c>
      <c r="C12" s="54" t="s">
        <v>499</v>
      </c>
      <c r="D12" s="28" t="s">
        <v>456</v>
      </c>
      <c r="E12" s="44">
        <v>45939</v>
      </c>
      <c r="F12" s="44">
        <v>45942</v>
      </c>
      <c r="G12" s="40" t="s">
        <v>514</v>
      </c>
      <c r="H12" s="28" t="s">
        <v>500</v>
      </c>
      <c r="I12" s="51">
        <v>318</v>
      </c>
      <c r="J12" s="51">
        <v>288</v>
      </c>
      <c r="K12" s="50">
        <f t="shared" si="0"/>
        <v>1.1041666666666667</v>
      </c>
      <c r="L12" s="29" t="s">
        <v>502</v>
      </c>
      <c r="M12" s="29"/>
      <c r="N12" s="28"/>
    </row>
    <row r="13" spans="1:14" s="26" customFormat="1">
      <c r="B13" s="17">
        <v>78954097</v>
      </c>
      <c r="C13" s="17" t="s">
        <v>294</v>
      </c>
      <c r="D13" s="17" t="s">
        <v>293</v>
      </c>
      <c r="E13" s="24">
        <v>45940</v>
      </c>
      <c r="F13" s="24">
        <v>45941</v>
      </c>
      <c r="G13" s="17" t="s">
        <v>511</v>
      </c>
      <c r="H13" s="17" t="s">
        <v>295</v>
      </c>
      <c r="I13" s="58">
        <v>0</v>
      </c>
      <c r="J13" s="58">
        <v>0</v>
      </c>
      <c r="K13" s="59" t="e">
        <f t="shared" si="0"/>
        <v>#DIV/0!</v>
      </c>
      <c r="L13" s="43" t="s">
        <v>188</v>
      </c>
      <c r="M13" s="43"/>
      <c r="N13" s="17" t="s">
        <v>214</v>
      </c>
    </row>
    <row r="14" spans="1:14" s="26" customFormat="1">
      <c r="B14" s="17">
        <v>78954098</v>
      </c>
      <c r="C14" s="17" t="s">
        <v>296</v>
      </c>
      <c r="D14" s="17" t="s">
        <v>293</v>
      </c>
      <c r="E14" s="24">
        <v>45940</v>
      </c>
      <c r="F14" s="24">
        <v>45941</v>
      </c>
      <c r="G14" s="43" t="s">
        <v>513</v>
      </c>
      <c r="H14" s="17" t="s">
        <v>295</v>
      </c>
      <c r="I14" s="58">
        <v>0</v>
      </c>
      <c r="J14" s="58">
        <v>0</v>
      </c>
      <c r="K14" s="59" t="e">
        <f t="shared" si="0"/>
        <v>#DIV/0!</v>
      </c>
      <c r="L14" s="43" t="s">
        <v>188</v>
      </c>
      <c r="M14" s="43"/>
      <c r="N14" s="17" t="s">
        <v>214</v>
      </c>
    </row>
    <row r="15" spans="1:14" s="26" customFormat="1" ht="63">
      <c r="B15" s="17">
        <v>81545653</v>
      </c>
      <c r="C15" s="17" t="s">
        <v>457</v>
      </c>
      <c r="D15" s="17" t="s">
        <v>456</v>
      </c>
      <c r="E15" s="24">
        <v>45940</v>
      </c>
      <c r="F15" s="24">
        <v>45949</v>
      </c>
      <c r="G15" s="43" t="s">
        <v>512</v>
      </c>
      <c r="H15" s="17" t="s">
        <v>194</v>
      </c>
      <c r="I15" s="58">
        <v>0</v>
      </c>
      <c r="J15" s="58">
        <v>0</v>
      </c>
      <c r="K15" s="59" t="e">
        <f t="shared" si="0"/>
        <v>#DIV/0!</v>
      </c>
      <c r="L15" s="43" t="s">
        <v>464</v>
      </c>
      <c r="M15" s="43"/>
      <c r="N15" s="224" t="s">
        <v>465</v>
      </c>
    </row>
    <row r="16" spans="1:14">
      <c r="A16" s="31" t="s">
        <v>314</v>
      </c>
      <c r="B16" s="15">
        <v>81545686</v>
      </c>
      <c r="C16" s="15" t="s">
        <v>468</v>
      </c>
      <c r="D16" s="28" t="s">
        <v>223</v>
      </c>
      <c r="E16" s="44">
        <v>45940</v>
      </c>
      <c r="F16" s="44">
        <v>45949</v>
      </c>
      <c r="G16" s="123" t="s">
        <v>485</v>
      </c>
      <c r="H16" s="28" t="s">
        <v>194</v>
      </c>
      <c r="I16" s="51">
        <v>990</v>
      </c>
      <c r="J16" s="51">
        <v>936</v>
      </c>
      <c r="K16" s="50">
        <f t="shared" si="0"/>
        <v>1.0576923076923077</v>
      </c>
      <c r="L16" s="29" t="s">
        <v>448</v>
      </c>
      <c r="M16" s="29"/>
      <c r="N16" s="231"/>
    </row>
    <row r="17" spans="1:14">
      <c r="A17" s="31" t="s">
        <v>314</v>
      </c>
      <c r="B17" s="15">
        <v>81545686</v>
      </c>
      <c r="C17" s="15" t="s">
        <v>469</v>
      </c>
      <c r="D17" s="28" t="s">
        <v>223</v>
      </c>
      <c r="E17" s="44">
        <v>45940</v>
      </c>
      <c r="F17" s="44">
        <v>45949</v>
      </c>
      <c r="G17" s="123" t="s">
        <v>485</v>
      </c>
      <c r="H17" s="28" t="s">
        <v>194</v>
      </c>
      <c r="I17" s="51">
        <v>990</v>
      </c>
      <c r="J17" s="51">
        <v>936</v>
      </c>
      <c r="K17" s="50">
        <f t="shared" si="0"/>
        <v>1.0576923076923077</v>
      </c>
      <c r="L17" s="29" t="s">
        <v>448</v>
      </c>
      <c r="M17" s="29"/>
      <c r="N17" s="231"/>
    </row>
    <row r="18" spans="1:14">
      <c r="A18" s="31" t="s">
        <v>314</v>
      </c>
      <c r="B18" s="15">
        <v>81545805</v>
      </c>
      <c r="C18" s="15" t="s">
        <v>493</v>
      </c>
      <c r="D18" s="28" t="s">
        <v>99</v>
      </c>
      <c r="E18" s="44">
        <v>45940</v>
      </c>
      <c r="F18" s="44">
        <v>45943</v>
      </c>
      <c r="G18" s="40" t="s">
        <v>507</v>
      </c>
      <c r="H18" s="28" t="s">
        <v>194</v>
      </c>
      <c r="I18" s="51">
        <v>270</v>
      </c>
      <c r="J18" s="51">
        <v>252</v>
      </c>
      <c r="K18" s="50">
        <f t="shared" si="0"/>
        <v>1.0714285714285714</v>
      </c>
      <c r="L18" s="28" t="s">
        <v>114</v>
      </c>
      <c r="M18" s="28"/>
      <c r="N18" s="231"/>
    </row>
    <row r="19" spans="1:14">
      <c r="A19" s="31" t="s">
        <v>314</v>
      </c>
      <c r="B19" s="15">
        <v>81545916</v>
      </c>
      <c r="C19" s="15" t="s">
        <v>518</v>
      </c>
      <c r="D19" s="28" t="s">
        <v>49</v>
      </c>
      <c r="E19" s="44">
        <v>45940</v>
      </c>
      <c r="F19" s="44">
        <v>45943</v>
      </c>
      <c r="G19" s="140" t="s">
        <v>529</v>
      </c>
      <c r="H19" s="28" t="s">
        <v>194</v>
      </c>
      <c r="I19" s="51">
        <v>288</v>
      </c>
      <c r="J19" s="51">
        <v>273</v>
      </c>
      <c r="K19" s="50">
        <f t="shared" si="0"/>
        <v>1.054945054945055</v>
      </c>
      <c r="L19" s="28" t="s">
        <v>276</v>
      </c>
      <c r="M19" s="28"/>
      <c r="N19" s="231"/>
    </row>
    <row r="20" spans="1:14">
      <c r="A20" s="31" t="s">
        <v>314</v>
      </c>
      <c r="B20" s="15">
        <v>81545917</v>
      </c>
      <c r="C20" s="54" t="s">
        <v>519</v>
      </c>
      <c r="D20" s="28" t="s">
        <v>49</v>
      </c>
      <c r="E20" s="44">
        <v>45940</v>
      </c>
      <c r="F20" s="44">
        <v>45943</v>
      </c>
      <c r="G20" s="232" t="s">
        <v>528</v>
      </c>
      <c r="H20" s="28" t="s">
        <v>194</v>
      </c>
      <c r="I20" s="51">
        <v>288</v>
      </c>
      <c r="J20" s="51">
        <v>273</v>
      </c>
      <c r="K20" s="50">
        <f t="shared" si="0"/>
        <v>1.054945054945055</v>
      </c>
      <c r="L20" s="28" t="s">
        <v>276</v>
      </c>
      <c r="M20" s="28"/>
      <c r="N20" s="231"/>
    </row>
    <row r="21" spans="1:14">
      <c r="A21" s="31" t="s">
        <v>314</v>
      </c>
      <c r="B21" s="15">
        <v>81545795</v>
      </c>
      <c r="C21" s="60" t="s">
        <v>489</v>
      </c>
      <c r="D21" s="28" t="s">
        <v>49</v>
      </c>
      <c r="E21" s="44">
        <v>45942</v>
      </c>
      <c r="F21" s="44">
        <v>45949</v>
      </c>
      <c r="G21" s="35">
        <v>34661</v>
      </c>
      <c r="H21" s="28" t="s">
        <v>194</v>
      </c>
      <c r="I21" s="51">
        <v>672</v>
      </c>
      <c r="J21" s="51">
        <v>637</v>
      </c>
      <c r="K21" s="50">
        <f t="shared" si="0"/>
        <v>1.054945054945055</v>
      </c>
      <c r="L21" s="28" t="s">
        <v>276</v>
      </c>
      <c r="M21" s="28"/>
      <c r="N21" s="231" t="s">
        <v>490</v>
      </c>
    </row>
    <row r="22" spans="1:14">
      <c r="A22" s="31" t="s">
        <v>314</v>
      </c>
      <c r="B22" s="15">
        <v>81545850</v>
      </c>
      <c r="C22" s="60" t="s">
        <v>495</v>
      </c>
      <c r="D22" s="28" t="s">
        <v>238</v>
      </c>
      <c r="E22" s="44">
        <v>45942</v>
      </c>
      <c r="F22" s="44">
        <v>45945</v>
      </c>
      <c r="G22" s="140" t="s">
        <v>510</v>
      </c>
      <c r="H22" s="28" t="s">
        <v>422</v>
      </c>
      <c r="I22" s="51">
        <v>168</v>
      </c>
      <c r="J22" s="51">
        <v>162</v>
      </c>
      <c r="K22" s="50">
        <f t="shared" si="0"/>
        <v>1.037037037037037</v>
      </c>
      <c r="L22" s="29" t="s">
        <v>448</v>
      </c>
      <c r="M22" s="29"/>
      <c r="N22" s="231"/>
    </row>
    <row r="23" spans="1:14">
      <c r="A23" s="31" t="s">
        <v>314</v>
      </c>
      <c r="B23" s="15">
        <v>81545796</v>
      </c>
      <c r="C23" s="60" t="s">
        <v>491</v>
      </c>
      <c r="D23" s="28" t="s">
        <v>49</v>
      </c>
      <c r="E23" s="44">
        <v>45942</v>
      </c>
      <c r="F23" s="44">
        <v>45949</v>
      </c>
      <c r="G23" s="35">
        <v>34662</v>
      </c>
      <c r="H23" s="28" t="s">
        <v>422</v>
      </c>
      <c r="I23" s="51">
        <v>336</v>
      </c>
      <c r="J23" s="51">
        <v>318.5</v>
      </c>
      <c r="K23" s="50">
        <f t="shared" si="0"/>
        <v>1.054945054945055</v>
      </c>
      <c r="L23" s="28" t="s">
        <v>276</v>
      </c>
      <c r="M23" s="28"/>
      <c r="N23" s="231" t="s">
        <v>490</v>
      </c>
    </row>
    <row r="24" spans="1:14">
      <c r="A24" s="31" t="s">
        <v>314</v>
      </c>
      <c r="B24" s="28">
        <v>78955422</v>
      </c>
      <c r="C24" s="15" t="s">
        <v>428</v>
      </c>
      <c r="D24" s="28" t="s">
        <v>420</v>
      </c>
      <c r="E24" s="44">
        <v>45943</v>
      </c>
      <c r="F24" s="44">
        <v>45947</v>
      </c>
      <c r="G24" s="29" t="s">
        <v>433</v>
      </c>
      <c r="H24" s="28" t="s">
        <v>422</v>
      </c>
      <c r="I24" s="51">
        <v>192</v>
      </c>
      <c r="J24" s="51">
        <v>182</v>
      </c>
      <c r="K24" s="50">
        <f t="shared" si="0"/>
        <v>1.054945054945055</v>
      </c>
      <c r="L24" s="28" t="s">
        <v>276</v>
      </c>
      <c r="M24" s="28"/>
      <c r="N24" s="28" t="s">
        <v>214</v>
      </c>
    </row>
    <row r="25" spans="1:14">
      <c r="A25" s="31" t="s">
        <v>314</v>
      </c>
      <c r="B25" s="15">
        <v>81545678</v>
      </c>
      <c r="C25" s="15" t="s">
        <v>467</v>
      </c>
      <c r="D25" s="28" t="s">
        <v>420</v>
      </c>
      <c r="E25" s="44">
        <v>45943</v>
      </c>
      <c r="F25" s="44">
        <v>45947</v>
      </c>
      <c r="G25" s="28" t="s">
        <v>483</v>
      </c>
      <c r="H25" s="28" t="s">
        <v>422</v>
      </c>
      <c r="I25" s="51">
        <v>192</v>
      </c>
      <c r="J25" s="51">
        <v>182</v>
      </c>
      <c r="K25" s="50">
        <f t="shared" si="0"/>
        <v>1.054945054945055</v>
      </c>
      <c r="L25" s="28" t="s">
        <v>276</v>
      </c>
      <c r="M25" s="28"/>
      <c r="N25" s="28" t="s">
        <v>214</v>
      </c>
    </row>
    <row r="26" spans="1:14">
      <c r="A26" s="31" t="s">
        <v>314</v>
      </c>
      <c r="B26" s="15">
        <v>81545708</v>
      </c>
      <c r="C26" s="60" t="s">
        <v>482</v>
      </c>
      <c r="D26" s="28" t="s">
        <v>424</v>
      </c>
      <c r="E26" s="44">
        <v>45943</v>
      </c>
      <c r="F26" s="44">
        <v>45944</v>
      </c>
      <c r="G26" s="29" t="s">
        <v>484</v>
      </c>
      <c r="H26" s="28" t="s">
        <v>194</v>
      </c>
      <c r="I26" s="74">
        <v>106</v>
      </c>
      <c r="J26" s="51">
        <v>100.8</v>
      </c>
      <c r="K26" s="50">
        <f t="shared" si="0"/>
        <v>1.0515873015873016</v>
      </c>
      <c r="L26" s="29" t="s">
        <v>188</v>
      </c>
      <c r="M26" s="29"/>
      <c r="N26" s="28"/>
    </row>
    <row r="27" spans="1:14">
      <c r="A27" s="31" t="s">
        <v>314</v>
      </c>
      <c r="B27" s="109">
        <v>81545506</v>
      </c>
      <c r="C27" s="109" t="s">
        <v>452</v>
      </c>
      <c r="D27" s="28" t="s">
        <v>216</v>
      </c>
      <c r="E27" s="44">
        <v>45944</v>
      </c>
      <c r="F27" s="44">
        <v>45947</v>
      </c>
      <c r="G27" s="29" t="s">
        <v>453</v>
      </c>
      <c r="H27" s="109" t="s">
        <v>256</v>
      </c>
      <c r="I27" s="74">
        <v>607.5</v>
      </c>
      <c r="J27" s="51">
        <v>577.5</v>
      </c>
      <c r="K27" s="50">
        <f t="shared" si="0"/>
        <v>1.051948051948052</v>
      </c>
      <c r="L27" s="29" t="s">
        <v>188</v>
      </c>
      <c r="M27" s="29"/>
      <c r="N27" s="28" t="s">
        <v>214</v>
      </c>
    </row>
    <row r="28" spans="1:14">
      <c r="A28" s="31" t="s">
        <v>314</v>
      </c>
      <c r="B28" s="109">
        <v>81545799</v>
      </c>
      <c r="C28" s="60" t="s">
        <v>492</v>
      </c>
      <c r="D28" s="28" t="s">
        <v>49</v>
      </c>
      <c r="E28" s="44">
        <v>45945</v>
      </c>
      <c r="F28" s="44">
        <v>45949</v>
      </c>
      <c r="G28" s="35">
        <v>34663</v>
      </c>
      <c r="H28" s="28" t="s">
        <v>422</v>
      </c>
      <c r="I28" s="74">
        <v>192</v>
      </c>
      <c r="J28" s="51">
        <v>182</v>
      </c>
      <c r="K28" s="50">
        <f t="shared" si="0"/>
        <v>1.054945054945055</v>
      </c>
      <c r="L28" s="28" t="s">
        <v>276</v>
      </c>
      <c r="M28" s="28"/>
      <c r="N28" s="231" t="s">
        <v>490</v>
      </c>
    </row>
    <row r="29" spans="1:14">
      <c r="A29" s="31" t="s">
        <v>314</v>
      </c>
      <c r="B29" s="28">
        <v>81545849</v>
      </c>
      <c r="C29" s="60" t="s">
        <v>494</v>
      </c>
      <c r="D29" s="28" t="s">
        <v>99</v>
      </c>
      <c r="E29" s="44">
        <v>45945</v>
      </c>
      <c r="F29" s="44">
        <v>45947</v>
      </c>
      <c r="G29" s="40" t="s">
        <v>506</v>
      </c>
      <c r="H29" s="28" t="s">
        <v>194</v>
      </c>
      <c r="I29" s="74">
        <v>180</v>
      </c>
      <c r="J29" s="51">
        <v>168</v>
      </c>
      <c r="K29" s="50">
        <f t="shared" si="0"/>
        <v>1.0714285714285714</v>
      </c>
      <c r="L29" s="28" t="s">
        <v>114</v>
      </c>
      <c r="M29" s="28"/>
      <c r="N29" s="231"/>
    </row>
    <row r="30" spans="1:14">
      <c r="A30" s="31" t="s">
        <v>314</v>
      </c>
      <c r="B30" s="15">
        <v>81545975</v>
      </c>
      <c r="C30" s="15" t="s">
        <v>525</v>
      </c>
      <c r="D30" s="109" t="s">
        <v>359</v>
      </c>
      <c r="E30" s="44">
        <v>45945</v>
      </c>
      <c r="F30" s="44">
        <v>38642</v>
      </c>
      <c r="G30" s="40" t="s">
        <v>527</v>
      </c>
      <c r="H30" s="28" t="s">
        <v>194</v>
      </c>
      <c r="I30" s="74">
        <v>280</v>
      </c>
      <c r="J30" s="51">
        <v>266.8</v>
      </c>
      <c r="K30" s="50">
        <f t="shared" si="0"/>
        <v>1.0494752623688155</v>
      </c>
      <c r="L30" s="29" t="s">
        <v>188</v>
      </c>
      <c r="M30" s="29"/>
      <c r="N30" s="231"/>
    </row>
    <row r="31" spans="1:14">
      <c r="A31" s="31" t="s">
        <v>314</v>
      </c>
      <c r="B31" s="15">
        <v>81545975</v>
      </c>
      <c r="C31" s="54" t="s">
        <v>526</v>
      </c>
      <c r="D31" s="109" t="s">
        <v>359</v>
      </c>
      <c r="E31" s="44">
        <v>45945</v>
      </c>
      <c r="F31" s="44">
        <v>38642</v>
      </c>
      <c r="G31" s="40" t="s">
        <v>527</v>
      </c>
      <c r="H31" s="28" t="s">
        <v>194</v>
      </c>
      <c r="I31" s="74">
        <v>280</v>
      </c>
      <c r="J31" s="51">
        <v>266.8</v>
      </c>
      <c r="K31" s="50">
        <f t="shared" si="0"/>
        <v>1.0494752623688155</v>
      </c>
      <c r="L31" s="29" t="s">
        <v>188</v>
      </c>
      <c r="M31" s="29"/>
      <c r="N31" s="231"/>
    </row>
    <row r="32" spans="1:14" s="26" customFormat="1">
      <c r="B32" s="17">
        <v>78953947</v>
      </c>
      <c r="C32" s="17" t="s">
        <v>260</v>
      </c>
      <c r="D32" s="17" t="s">
        <v>216</v>
      </c>
      <c r="E32" s="24">
        <v>45945</v>
      </c>
      <c r="F32" s="24">
        <v>45948</v>
      </c>
      <c r="G32" s="43" t="s">
        <v>372</v>
      </c>
      <c r="H32" s="17" t="s">
        <v>261</v>
      </c>
      <c r="I32" s="58">
        <v>0</v>
      </c>
      <c r="J32" s="58">
        <v>0</v>
      </c>
      <c r="K32" s="59" t="e">
        <f>I32/J32</f>
        <v>#DIV/0!</v>
      </c>
      <c r="L32" s="43" t="s">
        <v>188</v>
      </c>
      <c r="M32" s="43"/>
      <c r="N32" s="17" t="s">
        <v>214</v>
      </c>
    </row>
    <row r="33" spans="1:14">
      <c r="A33" s="31" t="s">
        <v>314</v>
      </c>
      <c r="B33" s="29">
        <v>81545899</v>
      </c>
      <c r="C33" s="60" t="s">
        <v>516</v>
      </c>
      <c r="D33" s="109" t="s">
        <v>424</v>
      </c>
      <c r="E33" s="44">
        <v>45946</v>
      </c>
      <c r="F33" s="44">
        <v>45949</v>
      </c>
      <c r="G33" s="40" t="s">
        <v>517</v>
      </c>
      <c r="H33" s="28" t="s">
        <v>194</v>
      </c>
      <c r="I33" s="74">
        <v>318</v>
      </c>
      <c r="J33" s="51">
        <v>302.39999999999998</v>
      </c>
      <c r="K33" s="50">
        <f t="shared" si="0"/>
        <v>1.0515873015873016</v>
      </c>
      <c r="L33" s="29" t="s">
        <v>188</v>
      </c>
      <c r="M33" s="29"/>
      <c r="N33" s="231"/>
    </row>
    <row r="34" spans="1:14">
      <c r="A34" s="31" t="s">
        <v>314</v>
      </c>
      <c r="B34" s="233">
        <v>81545899</v>
      </c>
      <c r="C34" s="54" t="s">
        <v>515</v>
      </c>
      <c r="D34" s="234" t="s">
        <v>424</v>
      </c>
      <c r="E34" s="235">
        <v>45946</v>
      </c>
      <c r="F34" s="235">
        <v>45949</v>
      </c>
      <c r="G34" s="236" t="s">
        <v>517</v>
      </c>
      <c r="H34" s="96" t="s">
        <v>194</v>
      </c>
      <c r="I34" s="74">
        <v>318</v>
      </c>
      <c r="J34" s="51">
        <v>302.39999999999998</v>
      </c>
      <c r="K34" s="50">
        <f t="shared" si="0"/>
        <v>1.0515873015873016</v>
      </c>
      <c r="L34" s="29" t="s">
        <v>188</v>
      </c>
      <c r="M34" s="29"/>
      <c r="N34" s="231"/>
    </row>
    <row r="35" spans="1:14" ht="47.25">
      <c r="A35" s="31" t="s">
        <v>314</v>
      </c>
      <c r="B35" s="15">
        <v>81546074</v>
      </c>
      <c r="C35" s="60" t="s">
        <v>532</v>
      </c>
      <c r="D35" s="28" t="s">
        <v>533</v>
      </c>
      <c r="E35" s="44">
        <v>45946</v>
      </c>
      <c r="F35" s="44">
        <v>45948</v>
      </c>
      <c r="G35" s="20" t="s">
        <v>541</v>
      </c>
      <c r="H35" s="28" t="s">
        <v>534</v>
      </c>
      <c r="I35" s="74">
        <v>296.39999999999998</v>
      </c>
      <c r="J35" s="51">
        <v>251.37</v>
      </c>
      <c r="K35" s="50">
        <f t="shared" si="0"/>
        <v>1.1791383219954648</v>
      </c>
      <c r="L35" s="29" t="s">
        <v>188</v>
      </c>
      <c r="M35" s="29"/>
      <c r="N35" s="237" t="s">
        <v>542</v>
      </c>
    </row>
    <row r="36" spans="1:14" s="26" customFormat="1">
      <c r="B36" s="17">
        <v>78954022</v>
      </c>
      <c r="C36" s="17" t="s">
        <v>289</v>
      </c>
      <c r="D36" s="17" t="s">
        <v>238</v>
      </c>
      <c r="E36" s="24">
        <v>45948</v>
      </c>
      <c r="F36" s="24">
        <v>45949</v>
      </c>
      <c r="G36" s="150" t="s">
        <v>470</v>
      </c>
      <c r="H36" s="17" t="s">
        <v>302</v>
      </c>
      <c r="I36" s="58">
        <v>0</v>
      </c>
      <c r="J36" s="58">
        <v>0</v>
      </c>
      <c r="K36" s="59" t="e">
        <f t="shared" si="0"/>
        <v>#DIV/0!</v>
      </c>
      <c r="L36" s="17" t="s">
        <v>276</v>
      </c>
      <c r="M36" s="17"/>
      <c r="N36" s="17" t="s">
        <v>347</v>
      </c>
    </row>
    <row r="37" spans="1:14" s="26" customFormat="1">
      <c r="B37" s="17">
        <v>78954237</v>
      </c>
      <c r="C37" s="26" t="s">
        <v>322</v>
      </c>
      <c r="D37" s="17" t="s">
        <v>323</v>
      </c>
      <c r="E37" s="24">
        <v>45949</v>
      </c>
      <c r="F37" s="24">
        <v>45952</v>
      </c>
      <c r="G37" s="127" t="s">
        <v>14</v>
      </c>
      <c r="H37" s="17" t="s">
        <v>324</v>
      </c>
      <c r="I37" s="58">
        <v>0</v>
      </c>
      <c r="J37" s="58">
        <v>0</v>
      </c>
      <c r="K37" s="59" t="e">
        <f t="shared" si="0"/>
        <v>#DIV/0!</v>
      </c>
      <c r="L37" s="43" t="s">
        <v>188</v>
      </c>
      <c r="M37" s="43"/>
      <c r="N37" s="17" t="s">
        <v>214</v>
      </c>
    </row>
    <row r="38" spans="1:14">
      <c r="A38" s="31" t="s">
        <v>314</v>
      </c>
      <c r="B38" s="28">
        <v>78953882</v>
      </c>
      <c r="C38" s="28" t="s">
        <v>253</v>
      </c>
      <c r="D38" s="28" t="s">
        <v>221</v>
      </c>
      <c r="E38" s="44">
        <v>45951</v>
      </c>
      <c r="F38" s="44">
        <v>45960</v>
      </c>
      <c r="G38" s="29" t="s">
        <v>265</v>
      </c>
      <c r="H38" s="28" t="s">
        <v>254</v>
      </c>
      <c r="I38" s="51">
        <v>2313.4499999999998</v>
      </c>
      <c r="J38" s="51">
        <v>2619</v>
      </c>
      <c r="K38" s="222">
        <f t="shared" si="0"/>
        <v>0.8833333333333333</v>
      </c>
      <c r="L38" s="29" t="s">
        <v>188</v>
      </c>
      <c r="M38" s="29"/>
      <c r="N38" s="215" t="s">
        <v>273</v>
      </c>
    </row>
    <row r="39" spans="1:14">
      <c r="A39" s="31" t="s">
        <v>314</v>
      </c>
      <c r="B39" s="15">
        <v>81545474</v>
      </c>
      <c r="C39" s="15" t="s">
        <v>473</v>
      </c>
      <c r="D39" s="28" t="s">
        <v>223</v>
      </c>
      <c r="E39" s="44">
        <v>45951</v>
      </c>
      <c r="F39" s="44">
        <v>45961</v>
      </c>
      <c r="G39" s="123" t="s">
        <v>455</v>
      </c>
      <c r="H39" s="28" t="s">
        <v>194</v>
      </c>
      <c r="I39" s="51">
        <v>1100</v>
      </c>
      <c r="J39" s="51">
        <v>1040</v>
      </c>
      <c r="K39" s="50">
        <f t="shared" si="0"/>
        <v>1.0576923076923077</v>
      </c>
      <c r="L39" s="29" t="s">
        <v>448</v>
      </c>
      <c r="M39" s="29"/>
      <c r="N39" s="28"/>
    </row>
    <row r="40" spans="1:14">
      <c r="A40" s="31" t="s">
        <v>314</v>
      </c>
      <c r="B40" s="28">
        <v>81545776</v>
      </c>
      <c r="C40" s="28" t="s">
        <v>488</v>
      </c>
      <c r="D40" s="28" t="s">
        <v>216</v>
      </c>
      <c r="E40" s="44">
        <v>45951</v>
      </c>
      <c r="F40" s="44">
        <v>45957</v>
      </c>
      <c r="G40" s="32" t="s">
        <v>505</v>
      </c>
      <c r="H40" s="28" t="s">
        <v>194</v>
      </c>
      <c r="I40" s="51">
        <v>972</v>
      </c>
      <c r="J40" s="51">
        <v>924</v>
      </c>
      <c r="K40" s="50">
        <f t="shared" si="0"/>
        <v>1.051948051948052</v>
      </c>
      <c r="L40" s="29" t="s">
        <v>188</v>
      </c>
      <c r="M40" s="29"/>
      <c r="N40" s="28"/>
    </row>
    <row r="41" spans="1:14">
      <c r="A41" s="31" t="s">
        <v>314</v>
      </c>
      <c r="B41" s="15">
        <v>81546084</v>
      </c>
      <c r="C41" s="15" t="s">
        <v>538</v>
      </c>
      <c r="D41" s="28" t="s">
        <v>238</v>
      </c>
      <c r="E41" s="44">
        <v>45952</v>
      </c>
      <c r="F41" s="44">
        <v>45956</v>
      </c>
      <c r="G41" s="238" t="s">
        <v>540</v>
      </c>
      <c r="H41" s="28" t="s">
        <v>194</v>
      </c>
      <c r="I41" s="51">
        <v>320</v>
      </c>
      <c r="J41" s="51">
        <v>304</v>
      </c>
      <c r="K41" s="50">
        <f t="shared" si="0"/>
        <v>1.0526315789473684</v>
      </c>
      <c r="L41" s="29" t="s">
        <v>448</v>
      </c>
      <c r="M41" s="29"/>
      <c r="N41" s="28"/>
    </row>
    <row r="42" spans="1:14">
      <c r="A42" s="31" t="s">
        <v>314</v>
      </c>
      <c r="B42" s="15">
        <v>81546084</v>
      </c>
      <c r="C42" s="15" t="s">
        <v>539</v>
      </c>
      <c r="D42" s="28" t="s">
        <v>238</v>
      </c>
      <c r="E42" s="44">
        <v>45952</v>
      </c>
      <c r="F42" s="44">
        <v>45956</v>
      </c>
      <c r="G42" s="238" t="s">
        <v>540</v>
      </c>
      <c r="H42" s="28" t="s">
        <v>194</v>
      </c>
      <c r="I42" s="51">
        <v>320</v>
      </c>
      <c r="J42" s="51">
        <v>304</v>
      </c>
      <c r="K42" s="50">
        <f t="shared" si="0"/>
        <v>1.0526315789473684</v>
      </c>
      <c r="L42" s="29" t="s">
        <v>448</v>
      </c>
      <c r="M42" s="29"/>
      <c r="N42" s="28"/>
    </row>
    <row r="43" spans="1:14">
      <c r="A43" s="31" t="s">
        <v>314</v>
      </c>
      <c r="B43" s="28">
        <v>81546062</v>
      </c>
      <c r="C43" s="15" t="s">
        <v>530</v>
      </c>
      <c r="D43" s="28" t="s">
        <v>323</v>
      </c>
      <c r="E43" s="44">
        <v>45955</v>
      </c>
      <c r="F43" s="44">
        <v>45957</v>
      </c>
      <c r="G43" s="29" t="s">
        <v>535</v>
      </c>
      <c r="H43" s="28" t="s">
        <v>194</v>
      </c>
      <c r="I43" s="51">
        <v>168</v>
      </c>
      <c r="J43" s="51">
        <v>159.6</v>
      </c>
      <c r="K43" s="50">
        <f t="shared" si="0"/>
        <v>1.0526315789473684</v>
      </c>
      <c r="L43" s="29" t="s">
        <v>188</v>
      </c>
      <c r="M43" s="29"/>
      <c r="N43" s="28"/>
    </row>
    <row r="44" spans="1:14">
      <c r="A44" s="31" t="s">
        <v>314</v>
      </c>
      <c r="B44" s="28">
        <v>81546062</v>
      </c>
      <c r="C44" s="15" t="s">
        <v>531</v>
      </c>
      <c r="D44" s="28" t="s">
        <v>323</v>
      </c>
      <c r="E44" s="44">
        <v>45955</v>
      </c>
      <c r="F44" s="44">
        <v>45957</v>
      </c>
      <c r="G44" s="29" t="s">
        <v>535</v>
      </c>
      <c r="H44" s="28" t="s">
        <v>194</v>
      </c>
      <c r="I44" s="51">
        <v>168</v>
      </c>
      <c r="J44" s="51">
        <v>159.6</v>
      </c>
      <c r="K44" s="50">
        <f t="shared" si="0"/>
        <v>1.0526315789473684</v>
      </c>
      <c r="L44" s="29" t="s">
        <v>188</v>
      </c>
      <c r="M44" s="29"/>
      <c r="N44" s="28"/>
    </row>
    <row r="45" spans="1:14">
      <c r="A45" s="31" t="s">
        <v>314</v>
      </c>
      <c r="B45" s="15">
        <v>81546192</v>
      </c>
      <c r="C45" s="23" t="s">
        <v>546</v>
      </c>
      <c r="D45" s="28" t="s">
        <v>521</v>
      </c>
      <c r="E45" s="44">
        <v>45955</v>
      </c>
      <c r="F45" s="44">
        <v>45959</v>
      </c>
      <c r="G45" s="140" t="s">
        <v>548</v>
      </c>
      <c r="H45" s="28" t="s">
        <v>481</v>
      </c>
      <c r="I45" s="51">
        <v>332</v>
      </c>
      <c r="J45" s="51">
        <v>294</v>
      </c>
      <c r="K45" s="50">
        <f t="shared" si="0"/>
        <v>1.129251700680272</v>
      </c>
      <c r="L45" s="29" t="s">
        <v>188</v>
      </c>
      <c r="M45" s="29"/>
      <c r="N45" s="28"/>
    </row>
    <row r="46" spans="1:14" s="26" customFormat="1">
      <c r="B46" s="17">
        <v>78954287</v>
      </c>
      <c r="C46" s="17" t="s">
        <v>322</v>
      </c>
      <c r="D46" s="17" t="s">
        <v>323</v>
      </c>
      <c r="E46" s="24">
        <v>45956</v>
      </c>
      <c r="F46" s="24">
        <v>45959</v>
      </c>
      <c r="G46" s="127" t="s">
        <v>14</v>
      </c>
      <c r="H46" s="17" t="s">
        <v>324</v>
      </c>
      <c r="I46" s="58">
        <v>0</v>
      </c>
      <c r="J46" s="58">
        <v>0</v>
      </c>
      <c r="K46" s="59" t="e">
        <f t="shared" si="0"/>
        <v>#DIV/0!</v>
      </c>
      <c r="L46" s="43" t="s">
        <v>188</v>
      </c>
      <c r="M46" s="43"/>
      <c r="N46" s="17" t="s">
        <v>214</v>
      </c>
    </row>
    <row r="47" spans="1:14" s="26" customFormat="1">
      <c r="B47" s="17">
        <v>78955434</v>
      </c>
      <c r="C47" s="17" t="s">
        <v>429</v>
      </c>
      <c r="D47" s="17" t="s">
        <v>195</v>
      </c>
      <c r="E47" s="24">
        <v>45956</v>
      </c>
      <c r="F47" s="24">
        <v>45961</v>
      </c>
      <c r="G47" s="127" t="s">
        <v>14</v>
      </c>
      <c r="H47" s="17" t="s">
        <v>430</v>
      </c>
      <c r="I47" s="58">
        <v>0</v>
      </c>
      <c r="J47" s="58">
        <v>0</v>
      </c>
      <c r="K47" s="59" t="e">
        <f t="shared" si="0"/>
        <v>#DIV/0!</v>
      </c>
      <c r="L47" s="43" t="s">
        <v>188</v>
      </c>
      <c r="M47" s="43"/>
      <c r="N47" s="17" t="s">
        <v>214</v>
      </c>
    </row>
    <row r="48" spans="1:14" s="26" customFormat="1">
      <c r="A48" s="31" t="s">
        <v>314</v>
      </c>
      <c r="B48" s="15">
        <v>81545709</v>
      </c>
      <c r="C48" s="15" t="s">
        <v>482</v>
      </c>
      <c r="D48" s="28" t="s">
        <v>424</v>
      </c>
      <c r="E48" s="44">
        <v>45956</v>
      </c>
      <c r="F48" s="44">
        <v>45957</v>
      </c>
      <c r="G48" s="29" t="s">
        <v>486</v>
      </c>
      <c r="H48" s="28" t="s">
        <v>194</v>
      </c>
      <c r="I48" s="74">
        <v>106</v>
      </c>
      <c r="J48" s="51">
        <v>100.8</v>
      </c>
      <c r="K48" s="50">
        <f t="shared" ref="K48" si="1">I48/J48</f>
        <v>1.0515873015873016</v>
      </c>
      <c r="L48" s="29" t="s">
        <v>188</v>
      </c>
      <c r="M48" s="29"/>
      <c r="N48" s="17"/>
    </row>
    <row r="49" spans="2:14" s="26" customFormat="1">
      <c r="B49" s="17">
        <v>81545529</v>
      </c>
      <c r="C49" s="17" t="s">
        <v>454</v>
      </c>
      <c r="D49" s="17" t="s">
        <v>298</v>
      </c>
      <c r="E49" s="24">
        <v>45958</v>
      </c>
      <c r="F49" s="24">
        <v>45962</v>
      </c>
      <c r="G49" s="43" t="s">
        <v>544</v>
      </c>
      <c r="H49" s="17" t="s">
        <v>194</v>
      </c>
      <c r="I49" s="58">
        <v>0</v>
      </c>
      <c r="J49" s="58">
        <v>0</v>
      </c>
      <c r="K49" s="59" t="e">
        <f t="shared" si="0"/>
        <v>#DIV/0!</v>
      </c>
      <c r="L49" s="43" t="s">
        <v>188</v>
      </c>
      <c r="M49" s="43"/>
      <c r="N49" s="17"/>
    </row>
    <row r="50" spans="2:14" s="26" customFormat="1">
      <c r="B50" s="17">
        <v>81546083</v>
      </c>
      <c r="C50" s="17" t="s">
        <v>536</v>
      </c>
      <c r="D50" s="17" t="s">
        <v>537</v>
      </c>
      <c r="E50" s="24">
        <v>45958</v>
      </c>
      <c r="F50" s="24">
        <v>45962</v>
      </c>
      <c r="G50" s="248" t="s">
        <v>545</v>
      </c>
      <c r="H50" s="17" t="s">
        <v>194</v>
      </c>
      <c r="I50" s="58">
        <v>0</v>
      </c>
      <c r="J50" s="58">
        <v>0</v>
      </c>
      <c r="K50" s="59" t="e">
        <f t="shared" si="0"/>
        <v>#DIV/0!</v>
      </c>
      <c r="L50" s="43" t="s">
        <v>188</v>
      </c>
      <c r="M50" s="43"/>
      <c r="N50" s="17"/>
    </row>
    <row r="51" spans="2:14">
      <c r="B51" s="28"/>
      <c r="C51" s="28"/>
      <c r="D51" s="28"/>
      <c r="E51" s="28"/>
      <c r="F51" s="28"/>
      <c r="G51" s="28"/>
      <c r="H51" s="28"/>
      <c r="I51" s="51"/>
      <c r="J51" s="28"/>
      <c r="K51" s="28"/>
      <c r="L51" s="28"/>
      <c r="M51" s="28"/>
      <c r="N51" s="28"/>
    </row>
    <row r="52" spans="2:14">
      <c r="B52" s="28"/>
      <c r="C52" s="28"/>
      <c r="D52" s="28"/>
      <c r="E52" s="28"/>
      <c r="F52" s="28"/>
      <c r="G52" s="28"/>
      <c r="H52" s="28"/>
      <c r="I52" s="51"/>
      <c r="J52" s="28"/>
      <c r="K52" s="28"/>
      <c r="L52" s="28"/>
      <c r="M52" s="28"/>
      <c r="N52" s="28"/>
    </row>
    <row r="53" spans="2:14">
      <c r="B53" s="28"/>
      <c r="C53" s="28"/>
      <c r="D53" s="28"/>
      <c r="E53" s="28"/>
      <c r="F53" s="28"/>
      <c r="G53" s="28"/>
      <c r="H53" s="28"/>
      <c r="I53" s="146">
        <f>SUM(I3:I52)</f>
        <v>15858.95</v>
      </c>
      <c r="J53" s="148">
        <f>SUM(J3:J52)</f>
        <v>15229.81</v>
      </c>
      <c r="K53" s="147">
        <f t="shared" ref="K53" si="2">I53/J53</f>
        <v>1.041309773398355</v>
      </c>
      <c r="L53" s="28"/>
      <c r="M53" s="28"/>
      <c r="N53" s="28"/>
    </row>
    <row r="54" spans="2:14">
      <c r="B54" s="28"/>
      <c r="C54" s="28"/>
      <c r="D54" s="28"/>
      <c r="E54" s="28"/>
      <c r="F54" s="28"/>
      <c r="G54" s="28"/>
      <c r="H54" s="28"/>
      <c r="I54" s="146"/>
      <c r="J54" s="149"/>
      <c r="K54" s="149"/>
      <c r="L54" s="28"/>
      <c r="M54" s="28"/>
      <c r="N54" s="28"/>
    </row>
    <row r="55" spans="2:14">
      <c r="B55" s="28"/>
      <c r="C55" s="28"/>
      <c r="D55" s="28"/>
      <c r="E55" s="28"/>
      <c r="F55" s="28"/>
      <c r="G55" s="28"/>
      <c r="H55" s="28"/>
      <c r="I55" s="146" t="s">
        <v>131</v>
      </c>
      <c r="J55" s="148">
        <f>I53-J53</f>
        <v>629.14000000000124</v>
      </c>
      <c r="K55" s="149"/>
      <c r="L55" s="28"/>
      <c r="M55" s="28"/>
      <c r="N55" s="28"/>
    </row>
    <row r="56" spans="2:14">
      <c r="B56" s="28"/>
      <c r="C56" s="28"/>
      <c r="D56" s="28"/>
      <c r="E56" s="28"/>
      <c r="F56" s="28"/>
      <c r="G56" s="28"/>
      <c r="H56" s="28"/>
      <c r="I56" s="51"/>
      <c r="J56" s="28"/>
      <c r="K56" s="28"/>
      <c r="L56" s="28"/>
      <c r="M56" s="28"/>
      <c r="N56" s="28"/>
    </row>
    <row r="57" spans="2:14">
      <c r="B57" s="28"/>
      <c r="C57" s="28"/>
      <c r="D57" s="28"/>
      <c r="E57" s="28"/>
      <c r="F57" s="28"/>
      <c r="G57" s="28"/>
      <c r="H57" s="28"/>
      <c r="I57" s="51"/>
      <c r="J57" s="28"/>
      <c r="K57" s="28"/>
      <c r="L57" s="28"/>
      <c r="M57" s="28"/>
      <c r="N57" s="28"/>
    </row>
    <row r="58" spans="2:14">
      <c r="B58" s="28"/>
      <c r="C58" s="28"/>
      <c r="D58" s="28"/>
      <c r="E58" s="28"/>
      <c r="F58" s="28"/>
      <c r="G58" s="28"/>
      <c r="H58" s="28"/>
      <c r="I58" s="51"/>
      <c r="J58" s="28"/>
      <c r="K58" s="28"/>
      <c r="L58" s="28"/>
      <c r="M58" s="28"/>
      <c r="N58" s="28"/>
    </row>
    <row r="59" spans="2:14">
      <c r="B59" s="28"/>
      <c r="C59" s="28"/>
      <c r="D59" s="28"/>
      <c r="E59" s="28"/>
      <c r="F59" s="28"/>
      <c r="G59" s="28"/>
      <c r="H59" s="28"/>
      <c r="I59" s="51"/>
      <c r="J59" s="28"/>
      <c r="K59" s="28"/>
      <c r="L59" s="28"/>
      <c r="M59" s="28"/>
      <c r="N59" s="28"/>
    </row>
    <row r="60" spans="2:14">
      <c r="B60" s="28"/>
      <c r="C60" s="28"/>
      <c r="D60" s="28"/>
      <c r="E60" s="28"/>
      <c r="F60" s="28"/>
      <c r="G60" s="28"/>
      <c r="H60" s="28"/>
      <c r="I60" s="51"/>
      <c r="J60" s="28"/>
      <c r="K60" s="28"/>
      <c r="L60" s="28"/>
      <c r="M60" s="28"/>
      <c r="N60" s="28"/>
    </row>
    <row r="61" spans="2:14">
      <c r="B61" s="28"/>
      <c r="C61" s="28"/>
      <c r="D61" s="28"/>
      <c r="E61" s="28"/>
      <c r="F61" s="28"/>
      <c r="G61" s="28"/>
      <c r="H61" s="28"/>
      <c r="I61" s="51"/>
      <c r="J61" s="28"/>
      <c r="K61" s="28"/>
      <c r="L61" s="28"/>
      <c r="M61" s="28"/>
      <c r="N61" s="28"/>
    </row>
    <row r="62" spans="2:14">
      <c r="B62" s="28"/>
      <c r="C62" s="28"/>
      <c r="D62" s="28"/>
      <c r="E62" s="28"/>
      <c r="F62" s="28"/>
      <c r="G62" s="28"/>
      <c r="H62" s="28"/>
      <c r="I62" s="51"/>
      <c r="J62" s="28"/>
      <c r="K62" s="28"/>
      <c r="L62" s="28"/>
      <c r="M62" s="28"/>
      <c r="N62" s="28"/>
    </row>
    <row r="63" spans="2:14"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</row>
    <row r="64" spans="2:14"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</row>
    <row r="65" spans="2:14"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</row>
    <row r="66" spans="2:14"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</row>
    <row r="67" spans="2:14"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</row>
    <row r="68" spans="2:14"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</row>
    <row r="69" spans="2:14"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</row>
    <row r="70" spans="2:14"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</row>
    <row r="71" spans="2:14"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</row>
    <row r="72" spans="2:14"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</row>
    <row r="73" spans="2:14"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</row>
  </sheetData>
  <autoFilter ref="A2:N50" xr:uid="{9847D188-5A00-4525-9187-A2D1FA21817E}"/>
  <phoneticPr fontId="3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E0B61-31EE-4BC3-83FB-6708ABC2409D}">
  <dimension ref="B2:N17"/>
  <sheetViews>
    <sheetView zoomScaleNormal="100" workbookViewId="0">
      <selection activeCell="A3" sqref="A3:XFD15"/>
    </sheetView>
  </sheetViews>
  <sheetFormatPr baseColWidth="10" defaultColWidth="8.75" defaultRowHeight="15.75"/>
  <cols>
    <col min="1" max="1" width="8.75" style="23"/>
    <col min="2" max="2" width="16.5" style="23" bestFit="1" customWidth="1"/>
    <col min="3" max="3" width="21.5" style="23" customWidth="1"/>
    <col min="4" max="4" width="26.375" style="23" bestFit="1" customWidth="1"/>
    <col min="5" max="6" width="11.625" style="23" bestFit="1" customWidth="1"/>
    <col min="7" max="7" width="22.625" style="23" customWidth="1"/>
    <col min="8" max="8" width="15.625" style="23" bestFit="1" customWidth="1"/>
    <col min="9" max="9" width="19.75" style="23" bestFit="1" customWidth="1"/>
    <col min="10" max="10" width="15.5" style="23" bestFit="1" customWidth="1"/>
    <col min="11" max="11" width="9.875" style="23" bestFit="1" customWidth="1"/>
    <col min="12" max="12" width="22.625" style="23" bestFit="1" customWidth="1"/>
    <col min="13" max="13" width="22.625" style="23" customWidth="1"/>
    <col min="14" max="14" width="32.75" style="23" bestFit="1" customWidth="1"/>
    <col min="15" max="16384" width="8.75" style="23"/>
  </cols>
  <sheetData>
    <row r="2" spans="2:14" s="55" customFormat="1">
      <c r="B2" s="21" t="s">
        <v>138</v>
      </c>
      <c r="C2" s="21" t="s">
        <v>137</v>
      </c>
      <c r="D2" s="21" t="s">
        <v>139</v>
      </c>
      <c r="E2" s="21" t="s">
        <v>140</v>
      </c>
      <c r="F2" s="21" t="s">
        <v>141</v>
      </c>
      <c r="G2" s="41" t="s">
        <v>142</v>
      </c>
      <c r="H2" s="41" t="s">
        <v>143</v>
      </c>
      <c r="I2" s="41" t="s">
        <v>144</v>
      </c>
      <c r="J2" s="41" t="s">
        <v>145</v>
      </c>
      <c r="K2" s="41" t="s">
        <v>118</v>
      </c>
      <c r="L2" s="21" t="s">
        <v>146</v>
      </c>
      <c r="M2" s="21" t="s">
        <v>547</v>
      </c>
      <c r="N2" s="22" t="s">
        <v>82</v>
      </c>
    </row>
    <row r="3" spans="2:14">
      <c r="B3" s="15"/>
      <c r="C3" s="15"/>
      <c r="D3" s="15"/>
      <c r="E3" s="15"/>
      <c r="F3" s="15"/>
      <c r="G3" s="15"/>
      <c r="H3" s="15"/>
      <c r="I3" s="51"/>
      <c r="J3" s="51"/>
      <c r="K3" s="50" t="e">
        <f t="shared" ref="K3:K15" si="0">I3/J3</f>
        <v>#DIV/0!</v>
      </c>
      <c r="L3" s="15"/>
      <c r="M3" s="15"/>
      <c r="N3" s="15"/>
    </row>
    <row r="4" spans="2:14">
      <c r="B4" s="15"/>
      <c r="C4" s="15"/>
      <c r="D4" s="15"/>
      <c r="E4" s="15"/>
      <c r="F4" s="15"/>
      <c r="G4" s="15"/>
      <c r="H4" s="15"/>
      <c r="I4" s="51"/>
      <c r="J4" s="51"/>
      <c r="K4" s="50" t="e">
        <f t="shared" si="0"/>
        <v>#DIV/0!</v>
      </c>
      <c r="L4" s="15"/>
      <c r="M4" s="15"/>
      <c r="N4" s="15"/>
    </row>
    <row r="5" spans="2:14">
      <c r="B5" s="15"/>
      <c r="C5" s="15"/>
      <c r="D5" s="15"/>
      <c r="E5" s="15"/>
      <c r="F5" s="15"/>
      <c r="G5" s="15"/>
      <c r="H5" s="15"/>
      <c r="I5" s="51"/>
      <c r="J5" s="51"/>
      <c r="K5" s="50" t="e">
        <f t="shared" si="0"/>
        <v>#DIV/0!</v>
      </c>
      <c r="L5" s="15"/>
      <c r="M5" s="15"/>
      <c r="N5" s="15"/>
    </row>
    <row r="6" spans="2:14">
      <c r="B6" s="15"/>
      <c r="C6" s="15"/>
      <c r="D6" s="15"/>
      <c r="E6" s="15"/>
      <c r="F6" s="15"/>
      <c r="G6" s="15"/>
      <c r="H6" s="15"/>
      <c r="I6" s="51"/>
      <c r="J6" s="51"/>
      <c r="K6" s="50" t="e">
        <f t="shared" si="0"/>
        <v>#DIV/0!</v>
      </c>
      <c r="L6" s="15"/>
      <c r="M6" s="15"/>
      <c r="N6" s="15"/>
    </row>
    <row r="7" spans="2:14">
      <c r="B7" s="15"/>
      <c r="C7" s="15"/>
      <c r="D7" s="15"/>
      <c r="E7" s="15"/>
      <c r="F7" s="15"/>
      <c r="G7" s="15"/>
      <c r="H7" s="15"/>
      <c r="I7" s="51"/>
      <c r="J7" s="51"/>
      <c r="K7" s="50" t="e">
        <f t="shared" si="0"/>
        <v>#DIV/0!</v>
      </c>
      <c r="L7" s="15"/>
      <c r="M7" s="15"/>
      <c r="N7" s="15"/>
    </row>
    <row r="8" spans="2:14">
      <c r="B8" s="15"/>
      <c r="C8" s="15"/>
      <c r="D8" s="15"/>
      <c r="E8" s="15"/>
      <c r="F8" s="15"/>
      <c r="G8" s="15"/>
      <c r="H8" s="15"/>
      <c r="I8" s="51"/>
      <c r="J8" s="51"/>
      <c r="K8" s="50" t="e">
        <f t="shared" si="0"/>
        <v>#DIV/0!</v>
      </c>
      <c r="L8" s="15"/>
      <c r="M8" s="15"/>
      <c r="N8" s="15"/>
    </row>
    <row r="9" spans="2:14">
      <c r="B9" s="15"/>
      <c r="C9" s="15"/>
      <c r="D9" s="15"/>
      <c r="E9" s="15"/>
      <c r="F9" s="15"/>
      <c r="G9" s="15"/>
      <c r="H9" s="15"/>
      <c r="I9" s="51"/>
      <c r="J9" s="51"/>
      <c r="K9" s="50" t="e">
        <f t="shared" si="0"/>
        <v>#DIV/0!</v>
      </c>
      <c r="L9" s="15"/>
      <c r="M9" s="15"/>
      <c r="N9" s="15"/>
    </row>
    <row r="10" spans="2:14">
      <c r="B10" s="15"/>
      <c r="C10" s="15"/>
      <c r="D10" s="15"/>
      <c r="E10" s="15"/>
      <c r="F10" s="15"/>
      <c r="G10" s="15"/>
      <c r="H10" s="15"/>
      <c r="I10" s="51"/>
      <c r="J10" s="51"/>
      <c r="K10" s="50" t="e">
        <f t="shared" si="0"/>
        <v>#DIV/0!</v>
      </c>
      <c r="L10" s="15"/>
      <c r="M10" s="15"/>
      <c r="N10" s="15"/>
    </row>
    <row r="11" spans="2:14">
      <c r="B11" s="15"/>
      <c r="C11" s="15"/>
      <c r="D11" s="15"/>
      <c r="E11" s="15"/>
      <c r="F11" s="15"/>
      <c r="G11" s="15"/>
      <c r="H11" s="15"/>
      <c r="I11" s="51"/>
      <c r="J11" s="51"/>
      <c r="K11" s="50" t="e">
        <f t="shared" si="0"/>
        <v>#DIV/0!</v>
      </c>
      <c r="L11" s="15"/>
      <c r="M11" s="15"/>
      <c r="N11" s="15"/>
    </row>
    <row r="12" spans="2:14">
      <c r="B12" s="15"/>
      <c r="C12" s="15"/>
      <c r="D12" s="15"/>
      <c r="E12" s="15"/>
      <c r="F12" s="15"/>
      <c r="G12" s="15"/>
      <c r="H12" s="15"/>
      <c r="I12" s="51"/>
      <c r="J12" s="51"/>
      <c r="K12" s="50" t="e">
        <f t="shared" si="0"/>
        <v>#DIV/0!</v>
      </c>
      <c r="L12" s="15"/>
      <c r="M12" s="15"/>
      <c r="N12" s="15"/>
    </row>
    <row r="13" spans="2:14">
      <c r="B13" s="15"/>
      <c r="C13" s="15"/>
      <c r="D13" s="15"/>
      <c r="E13" s="15"/>
      <c r="F13" s="15"/>
      <c r="G13" s="15"/>
      <c r="H13" s="15"/>
      <c r="I13" s="51"/>
      <c r="J13" s="51"/>
      <c r="K13" s="50" t="e">
        <f t="shared" si="0"/>
        <v>#DIV/0!</v>
      </c>
      <c r="L13" s="15"/>
      <c r="M13" s="15"/>
      <c r="N13" s="15"/>
    </row>
    <row r="14" spans="2:14">
      <c r="B14" s="15"/>
      <c r="C14" s="15"/>
      <c r="D14" s="15"/>
      <c r="E14" s="15"/>
      <c r="F14" s="15"/>
      <c r="G14" s="15"/>
      <c r="H14" s="15"/>
      <c r="I14" s="51"/>
      <c r="J14" s="51"/>
      <c r="K14" s="50" t="e">
        <f t="shared" si="0"/>
        <v>#DIV/0!</v>
      </c>
      <c r="L14" s="15"/>
      <c r="M14" s="15"/>
      <c r="N14" s="15"/>
    </row>
    <row r="15" spans="2:14">
      <c r="I15" s="249">
        <f>SUM(I3:I14)</f>
        <v>0</v>
      </c>
      <c r="J15" s="250">
        <f>SUM(J3:J14)</f>
        <v>0</v>
      </c>
      <c r="K15" s="251" t="e">
        <f t="shared" si="0"/>
        <v>#DIV/0!</v>
      </c>
    </row>
    <row r="16" spans="2:14">
      <c r="I16" s="249"/>
      <c r="J16" s="252"/>
      <c r="K16" s="252"/>
    </row>
    <row r="17" spans="9:11">
      <c r="I17" s="249" t="s">
        <v>131</v>
      </c>
      <c r="J17" s="250">
        <f>I15-J15</f>
        <v>0</v>
      </c>
      <c r="K17" s="252"/>
    </row>
  </sheetData>
  <autoFilter ref="A2:N15" xr:uid="{A3DE0B61-31EE-4BC3-83FB-6708ABC2409D}"/>
  <phoneticPr fontId="3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8349F-99C6-4BCF-BE7B-8CB058FD818B}">
  <dimension ref="B2:N19"/>
  <sheetViews>
    <sheetView workbookViewId="0">
      <selection activeCell="A4" sqref="A4:XFD18"/>
    </sheetView>
  </sheetViews>
  <sheetFormatPr baseColWidth="10" defaultColWidth="8.75" defaultRowHeight="15.75"/>
  <cols>
    <col min="1" max="1" width="6.25" style="23" customWidth="1"/>
    <col min="2" max="2" width="18.75" style="23" bestFit="1" customWidth="1"/>
    <col min="3" max="3" width="28.75" style="23" bestFit="1" customWidth="1"/>
    <col min="4" max="4" width="23.25" style="23" bestFit="1" customWidth="1"/>
    <col min="5" max="6" width="11.625" style="23" bestFit="1" customWidth="1"/>
    <col min="7" max="7" width="20.875" style="23" bestFit="1" customWidth="1"/>
    <col min="8" max="8" width="15.75" style="23" bestFit="1" customWidth="1"/>
    <col min="9" max="9" width="22" style="23" bestFit="1" customWidth="1"/>
    <col min="10" max="10" width="15.125" style="23" bestFit="1" customWidth="1"/>
    <col min="11" max="11" width="11.75" style="228" bestFit="1" customWidth="1"/>
    <col min="12" max="12" width="24.375" style="23" bestFit="1" customWidth="1"/>
    <col min="13" max="13" width="24.375" style="23" customWidth="1"/>
    <col min="14" max="14" width="12.125" style="23" bestFit="1" customWidth="1"/>
    <col min="15" max="16384" width="8.75" style="23"/>
  </cols>
  <sheetData>
    <row r="2" spans="2:14" s="55" customFormat="1">
      <c r="B2" s="21" t="s">
        <v>138</v>
      </c>
      <c r="C2" s="21" t="s">
        <v>137</v>
      </c>
      <c r="D2" s="21" t="s">
        <v>139</v>
      </c>
      <c r="E2" s="21" t="s">
        <v>140</v>
      </c>
      <c r="F2" s="21" t="s">
        <v>141</v>
      </c>
      <c r="G2" s="41" t="s">
        <v>142</v>
      </c>
      <c r="H2" s="41" t="s">
        <v>143</v>
      </c>
      <c r="I2" s="41" t="s">
        <v>144</v>
      </c>
      <c r="J2" s="41" t="s">
        <v>145</v>
      </c>
      <c r="K2" s="225" t="s">
        <v>118</v>
      </c>
      <c r="L2" s="21" t="s">
        <v>146</v>
      </c>
      <c r="M2" s="21" t="s">
        <v>547</v>
      </c>
      <c r="N2" s="22" t="s">
        <v>82</v>
      </c>
    </row>
    <row r="3" spans="2:14">
      <c r="B3" s="17">
        <v>81545816</v>
      </c>
      <c r="C3" s="17" t="s">
        <v>501</v>
      </c>
      <c r="D3" s="17" t="s">
        <v>309</v>
      </c>
      <c r="E3" s="24">
        <v>46005</v>
      </c>
      <c r="F3" s="24">
        <v>46008</v>
      </c>
      <c r="G3" s="43" t="s">
        <v>543</v>
      </c>
      <c r="H3" s="17" t="s">
        <v>194</v>
      </c>
      <c r="I3" s="58">
        <v>0</v>
      </c>
      <c r="J3" s="58">
        <v>0</v>
      </c>
      <c r="K3" s="59" t="e">
        <f>I3/J3</f>
        <v>#DIV/0!</v>
      </c>
      <c r="L3" s="17" t="s">
        <v>524</v>
      </c>
      <c r="M3" s="17"/>
      <c r="N3" s="15"/>
    </row>
    <row r="4" spans="2:14">
      <c r="B4" s="15"/>
      <c r="C4" s="15"/>
      <c r="D4" s="15"/>
      <c r="E4" s="15"/>
      <c r="F4" s="15"/>
      <c r="G4" s="15"/>
      <c r="H4" s="15"/>
      <c r="I4" s="51"/>
      <c r="J4" s="51"/>
      <c r="K4" s="50" t="e">
        <f t="shared" ref="K4:K11" si="0">I4/J4</f>
        <v>#DIV/0!</v>
      </c>
      <c r="L4" s="15"/>
      <c r="M4" s="15"/>
      <c r="N4" s="15"/>
    </row>
    <row r="5" spans="2:14">
      <c r="B5" s="15"/>
      <c r="C5" s="15"/>
      <c r="D5" s="15"/>
      <c r="E5" s="15"/>
      <c r="F5" s="15"/>
      <c r="G5" s="15"/>
      <c r="H5" s="15"/>
      <c r="I5" s="51"/>
      <c r="J5" s="51"/>
      <c r="K5" s="50" t="e">
        <f t="shared" si="0"/>
        <v>#DIV/0!</v>
      </c>
      <c r="L5" s="15"/>
      <c r="M5" s="15"/>
      <c r="N5" s="15"/>
    </row>
    <row r="6" spans="2:14">
      <c r="B6" s="15"/>
      <c r="C6" s="15"/>
      <c r="D6" s="15"/>
      <c r="E6" s="15"/>
      <c r="F6" s="15"/>
      <c r="G6" s="15"/>
      <c r="H6" s="15"/>
      <c r="I6" s="51"/>
      <c r="J6" s="51"/>
      <c r="K6" s="50" t="e">
        <f t="shared" si="0"/>
        <v>#DIV/0!</v>
      </c>
      <c r="L6" s="15"/>
      <c r="M6" s="15"/>
      <c r="N6" s="15"/>
    </row>
    <row r="7" spans="2:14">
      <c r="B7" s="15"/>
      <c r="C7" s="15"/>
      <c r="D7" s="15"/>
      <c r="E7" s="15"/>
      <c r="F7" s="15"/>
      <c r="G7" s="15"/>
      <c r="H7" s="15"/>
      <c r="I7" s="51"/>
      <c r="J7" s="51"/>
      <c r="K7" s="50" t="e">
        <f t="shared" si="0"/>
        <v>#DIV/0!</v>
      </c>
      <c r="L7" s="15"/>
      <c r="M7" s="15"/>
      <c r="N7" s="15"/>
    </row>
    <row r="8" spans="2:14">
      <c r="B8" s="15"/>
      <c r="C8" s="15"/>
      <c r="D8" s="15"/>
      <c r="E8" s="15"/>
      <c r="F8" s="15"/>
      <c r="G8" s="15"/>
      <c r="H8" s="15"/>
      <c r="I8" s="51"/>
      <c r="J8" s="51"/>
      <c r="K8" s="50" t="e">
        <f t="shared" si="0"/>
        <v>#DIV/0!</v>
      </c>
      <c r="L8" s="15"/>
      <c r="M8" s="15"/>
      <c r="N8" s="15"/>
    </row>
    <row r="9" spans="2:14">
      <c r="B9" s="15"/>
      <c r="C9" s="15"/>
      <c r="D9" s="15"/>
      <c r="E9" s="15"/>
      <c r="F9" s="15"/>
      <c r="G9" s="15"/>
      <c r="H9" s="15"/>
      <c r="I9" s="51"/>
      <c r="J9" s="51"/>
      <c r="K9" s="50" t="e">
        <f t="shared" si="0"/>
        <v>#DIV/0!</v>
      </c>
      <c r="L9" s="15"/>
      <c r="M9" s="15"/>
      <c r="N9" s="15"/>
    </row>
    <row r="10" spans="2:14">
      <c r="B10" s="15"/>
      <c r="C10" s="15"/>
      <c r="D10" s="15"/>
      <c r="E10" s="15"/>
      <c r="F10" s="15"/>
      <c r="G10" s="15"/>
      <c r="H10" s="15"/>
      <c r="I10" s="51"/>
      <c r="J10" s="51"/>
      <c r="K10" s="50" t="e">
        <f t="shared" si="0"/>
        <v>#DIV/0!</v>
      </c>
      <c r="L10" s="15"/>
      <c r="M10" s="15"/>
      <c r="N10" s="15"/>
    </row>
    <row r="11" spans="2:14">
      <c r="B11" s="15"/>
      <c r="C11" s="15"/>
      <c r="D11" s="15"/>
      <c r="E11" s="15"/>
      <c r="F11" s="15"/>
      <c r="G11" s="15"/>
      <c r="H11" s="15"/>
      <c r="I11" s="51"/>
      <c r="J11" s="51"/>
      <c r="K11" s="50" t="e">
        <f t="shared" si="0"/>
        <v>#DIV/0!</v>
      </c>
      <c r="L11" s="15"/>
      <c r="M11" s="15"/>
      <c r="N11" s="15"/>
    </row>
    <row r="12" spans="2:14">
      <c r="B12" s="15"/>
      <c r="C12" s="15"/>
      <c r="D12" s="15"/>
      <c r="E12" s="15"/>
      <c r="F12" s="15"/>
      <c r="G12" s="15"/>
      <c r="H12" s="15"/>
      <c r="I12" s="51"/>
      <c r="J12" s="51"/>
      <c r="K12" s="226"/>
      <c r="L12" s="15"/>
      <c r="M12" s="15"/>
      <c r="N12" s="15"/>
    </row>
    <row r="13" spans="2:14">
      <c r="B13" s="15"/>
      <c r="C13" s="15"/>
      <c r="D13" s="15"/>
      <c r="E13" s="15"/>
      <c r="F13" s="15"/>
      <c r="G13" s="15"/>
      <c r="H13" s="15"/>
      <c r="I13" s="15"/>
      <c r="J13" s="15"/>
      <c r="K13" s="226"/>
      <c r="L13" s="15"/>
      <c r="M13" s="15"/>
      <c r="N13" s="15"/>
    </row>
    <row r="14" spans="2:14">
      <c r="B14" s="15"/>
      <c r="C14" s="15"/>
      <c r="D14" s="15"/>
      <c r="E14" s="15"/>
      <c r="F14" s="15"/>
      <c r="G14" s="15"/>
      <c r="H14" s="15"/>
      <c r="I14" s="15"/>
      <c r="J14" s="15"/>
      <c r="K14" s="226"/>
      <c r="L14" s="15"/>
      <c r="M14" s="15"/>
      <c r="N14" s="15"/>
    </row>
    <row r="17" spans="9:11">
      <c r="I17" s="146">
        <f>SUM(I3:I16)</f>
        <v>0</v>
      </c>
      <c r="J17" s="148">
        <f>SUM(J3:J16)</f>
        <v>0</v>
      </c>
      <c r="K17" s="147" t="e">
        <f t="shared" ref="K17" si="1">I17/J17</f>
        <v>#DIV/0!</v>
      </c>
    </row>
    <row r="18" spans="9:11">
      <c r="I18" s="146"/>
      <c r="J18" s="149"/>
      <c r="K18" s="227"/>
    </row>
    <row r="19" spans="9:11">
      <c r="I19" s="146" t="s">
        <v>131</v>
      </c>
      <c r="J19" s="148">
        <f>I17-J17</f>
        <v>0</v>
      </c>
      <c r="K19" s="227"/>
    </row>
  </sheetData>
  <autoFilter ref="A2:N11" xr:uid="{4ED8349F-99C6-4BCF-BE7B-8CB058FD818B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DA2D0-EE2B-4CEB-BD82-CC212DA83BB6}">
  <dimension ref="A1:O17"/>
  <sheetViews>
    <sheetView workbookViewId="0">
      <selection activeCell="A12" sqref="A12:XFD12"/>
    </sheetView>
  </sheetViews>
  <sheetFormatPr baseColWidth="10" defaultColWidth="11.5" defaultRowHeight="15.75"/>
  <cols>
    <col min="1" max="1" width="19.5" style="54" bestFit="1" customWidth="1"/>
    <col min="2" max="2" width="17.5" style="54" bestFit="1" customWidth="1"/>
    <col min="3" max="3" width="14.125" style="54" bestFit="1" customWidth="1"/>
    <col min="4" max="4" width="11.5" style="176"/>
    <col min="5" max="5" width="14.125" style="176" bestFit="1" customWidth="1"/>
    <col min="6" max="6" width="11.5" style="54"/>
    <col min="7" max="7" width="20.125" style="54" bestFit="1" customWidth="1"/>
    <col min="8" max="8" width="14.125" style="54" bestFit="1" customWidth="1"/>
    <col min="9" max="9" width="9.875" style="54" bestFit="1" customWidth="1"/>
    <col min="10" max="10" width="14.5" style="54" bestFit="1" customWidth="1"/>
    <col min="11" max="11" width="3.5" style="54" customWidth="1"/>
    <col min="12" max="12" width="17.5" style="54" bestFit="1" customWidth="1"/>
    <col min="13" max="13" width="23.125" style="54" bestFit="1" customWidth="1"/>
    <col min="14" max="14" width="9.875" style="54" bestFit="1" customWidth="1"/>
    <col min="15" max="15" width="14.5" style="54" bestFit="1" customWidth="1"/>
    <col min="16" max="16384" width="11.5" style="54"/>
  </cols>
  <sheetData>
    <row r="1" spans="1:15" ht="16.5" thickBot="1">
      <c r="A1" s="68" t="s">
        <v>175</v>
      </c>
      <c r="G1" s="197" t="s">
        <v>175</v>
      </c>
      <c r="H1" s="197"/>
      <c r="I1" s="197"/>
      <c r="J1" s="195"/>
    </row>
    <row r="2" spans="1:15" ht="16.5" thickBot="1">
      <c r="A2" s="69" t="s">
        <v>184</v>
      </c>
      <c r="B2" s="41" t="s">
        <v>116</v>
      </c>
      <c r="C2" s="41" t="s">
        <v>117</v>
      </c>
      <c r="D2" s="177" t="s">
        <v>118</v>
      </c>
      <c r="E2" s="178" t="s">
        <v>204</v>
      </c>
      <c r="G2" s="198" t="s">
        <v>116</v>
      </c>
      <c r="H2" s="198" t="s">
        <v>117</v>
      </c>
      <c r="I2" s="199" t="s">
        <v>118</v>
      </c>
      <c r="J2" s="200" t="s">
        <v>204</v>
      </c>
      <c r="K2" s="195"/>
      <c r="L2" s="239" t="s">
        <v>116</v>
      </c>
      <c r="M2" s="239" t="s">
        <v>117</v>
      </c>
      <c r="N2" s="240" t="s">
        <v>118</v>
      </c>
      <c r="O2" s="241" t="s">
        <v>204</v>
      </c>
    </row>
    <row r="3" spans="1:15" ht="16.5" thickBot="1">
      <c r="A3" s="32" t="s">
        <v>349</v>
      </c>
      <c r="B3" s="70">
        <f>'Enero 2025'!G5</f>
        <v>672</v>
      </c>
      <c r="C3" s="70">
        <f>'Enero 2025'!H5</f>
        <v>540</v>
      </c>
      <c r="D3" s="179">
        <f t="shared" ref="D3:D5" si="0">B3/C3</f>
        <v>1.2444444444444445</v>
      </c>
      <c r="E3" s="180">
        <f t="shared" ref="E3:E5" si="1">B3-C3</f>
        <v>132</v>
      </c>
      <c r="G3" s="201">
        <v>672</v>
      </c>
      <c r="H3" s="201">
        <v>540</v>
      </c>
      <c r="I3" s="202">
        <v>1.2444</v>
      </c>
      <c r="J3" s="203">
        <v>132</v>
      </c>
      <c r="K3" s="196"/>
      <c r="L3" s="242">
        <v>672</v>
      </c>
      <c r="M3" s="242">
        <v>540</v>
      </c>
      <c r="N3" s="243">
        <v>1.2444</v>
      </c>
      <c r="O3" s="244">
        <v>132</v>
      </c>
    </row>
    <row r="4" spans="1:15" ht="16.5" thickBot="1">
      <c r="A4" s="32" t="s">
        <v>350</v>
      </c>
      <c r="B4" s="70">
        <f>'Febrero 2025'!H14</f>
        <v>1926</v>
      </c>
      <c r="C4" s="70">
        <f>'Febrero 2025'!I14</f>
        <v>1632</v>
      </c>
      <c r="D4" s="179">
        <f t="shared" si="0"/>
        <v>1.1801470588235294</v>
      </c>
      <c r="E4" s="180">
        <f t="shared" si="1"/>
        <v>294</v>
      </c>
      <c r="G4" s="201">
        <v>1926</v>
      </c>
      <c r="H4" s="201">
        <v>1632</v>
      </c>
      <c r="I4" s="202">
        <v>1.1800999999999999</v>
      </c>
      <c r="J4" s="203">
        <v>294</v>
      </c>
      <c r="K4" s="196"/>
      <c r="L4" s="242">
        <v>1926</v>
      </c>
      <c r="M4" s="242">
        <v>1632</v>
      </c>
      <c r="N4" s="243">
        <v>1.1800999999999999</v>
      </c>
      <c r="O4" s="244">
        <v>294</v>
      </c>
    </row>
    <row r="5" spans="1:15" ht="16.5" thickBot="1">
      <c r="A5" s="32" t="s">
        <v>351</v>
      </c>
      <c r="B5" s="70">
        <f>'MARZO 2025'!G16</f>
        <v>2126</v>
      </c>
      <c r="C5" s="70">
        <f>'MARZO 2025'!H16</f>
        <v>1976</v>
      </c>
      <c r="D5" s="179">
        <f t="shared" si="0"/>
        <v>1.0759109311740891</v>
      </c>
      <c r="E5" s="180">
        <f t="shared" si="1"/>
        <v>150</v>
      </c>
      <c r="G5" s="201">
        <v>2126</v>
      </c>
      <c r="H5" s="201">
        <v>1976</v>
      </c>
      <c r="I5" s="202">
        <v>1.0759000000000001</v>
      </c>
      <c r="J5" s="203">
        <v>150</v>
      </c>
      <c r="K5" s="196"/>
      <c r="L5" s="242">
        <v>2126</v>
      </c>
      <c r="M5" s="242">
        <v>1976</v>
      </c>
      <c r="N5" s="243">
        <v>1.0759000000000001</v>
      </c>
      <c r="O5" s="244">
        <v>150</v>
      </c>
    </row>
    <row r="6" spans="1:15" ht="16.5" thickBot="1">
      <c r="A6" s="60" t="s">
        <v>176</v>
      </c>
      <c r="B6" s="70">
        <f>'ABRIL 2025'!I19</f>
        <v>2310</v>
      </c>
      <c r="C6" s="70">
        <f>'ABRIL 2025'!J19</f>
        <v>2038</v>
      </c>
      <c r="D6" s="179">
        <f t="shared" ref="D6:D15" si="2">B6/C6</f>
        <v>1.1334641805691854</v>
      </c>
      <c r="E6" s="180">
        <f>B6-C6</f>
        <v>272</v>
      </c>
      <c r="G6" s="201">
        <v>2310</v>
      </c>
      <c r="H6" s="201">
        <v>2038</v>
      </c>
      <c r="I6" s="202">
        <v>1.1335</v>
      </c>
      <c r="J6" s="203">
        <v>272</v>
      </c>
      <c r="K6" s="196"/>
      <c r="L6" s="242">
        <v>2310</v>
      </c>
      <c r="M6" s="242">
        <v>2038</v>
      </c>
      <c r="N6" s="243">
        <v>1.1335</v>
      </c>
      <c r="O6" s="244">
        <v>272</v>
      </c>
    </row>
    <row r="7" spans="1:15" ht="16.5" thickBot="1">
      <c r="A7" s="60" t="s">
        <v>177</v>
      </c>
      <c r="B7" s="70">
        <f>'MAYO 2025'!I12</f>
        <v>1256</v>
      </c>
      <c r="C7" s="70">
        <f>'MAYO 2025'!J12</f>
        <v>1026</v>
      </c>
      <c r="D7" s="179">
        <f t="shared" si="2"/>
        <v>1.2241715399610136</v>
      </c>
      <c r="E7" s="180">
        <f t="shared" ref="E7:E14" si="3">B7-C7</f>
        <v>230</v>
      </c>
      <c r="G7" s="201">
        <v>1256</v>
      </c>
      <c r="H7" s="201">
        <v>1026</v>
      </c>
      <c r="I7" s="202">
        <v>1.2242</v>
      </c>
      <c r="J7" s="203">
        <v>230</v>
      </c>
      <c r="K7" s="196"/>
      <c r="L7" s="242">
        <v>1256</v>
      </c>
      <c r="M7" s="242">
        <v>1026</v>
      </c>
      <c r="N7" s="243">
        <v>1.2242</v>
      </c>
      <c r="O7" s="244">
        <v>230</v>
      </c>
    </row>
    <row r="8" spans="1:15" ht="16.5" thickBot="1">
      <c r="A8" s="60" t="s">
        <v>178</v>
      </c>
      <c r="B8" s="70">
        <f>'JUNIO 2025'!I22</f>
        <v>2472</v>
      </c>
      <c r="C8" s="70">
        <f>'JUNIO 2025'!J22</f>
        <v>2247.48</v>
      </c>
      <c r="D8" s="179">
        <f t="shared" si="2"/>
        <v>1.0998985530460783</v>
      </c>
      <c r="E8" s="180">
        <f t="shared" si="3"/>
        <v>224.51999999999998</v>
      </c>
      <c r="G8" s="201">
        <v>2472</v>
      </c>
      <c r="H8" s="201">
        <v>2247.48</v>
      </c>
      <c r="I8" s="202">
        <v>1.0999000000000001</v>
      </c>
      <c r="J8" s="203">
        <v>224.52</v>
      </c>
      <c r="K8" s="196"/>
      <c r="L8" s="242">
        <v>2472</v>
      </c>
      <c r="M8" s="242">
        <v>2247.48</v>
      </c>
      <c r="N8" s="243">
        <v>1.0999000000000001</v>
      </c>
      <c r="O8" s="244">
        <v>224.52</v>
      </c>
    </row>
    <row r="9" spans="1:15" ht="16.5" thickBot="1">
      <c r="A9" s="60" t="s">
        <v>179</v>
      </c>
      <c r="B9" s="70">
        <f>'JULIO 2025'!I40</f>
        <v>9315.7000000000007</v>
      </c>
      <c r="C9" s="70">
        <f>'JULIO 2025'!J40</f>
        <v>8607.4</v>
      </c>
      <c r="D9" s="179">
        <f t="shared" si="2"/>
        <v>1.0822896577363665</v>
      </c>
      <c r="E9" s="180">
        <f t="shared" si="3"/>
        <v>708.30000000000109</v>
      </c>
      <c r="G9" s="201">
        <v>9315.7000000000007</v>
      </c>
      <c r="H9" s="201">
        <v>8654.9599999999991</v>
      </c>
      <c r="I9" s="202">
        <v>1.0763</v>
      </c>
      <c r="J9" s="203">
        <v>660.74</v>
      </c>
      <c r="K9" s="196"/>
      <c r="L9" s="242">
        <v>9315.7000000000007</v>
      </c>
      <c r="M9" s="242">
        <v>8607.4</v>
      </c>
      <c r="N9" s="243">
        <v>1.0823</v>
      </c>
      <c r="O9" s="244">
        <v>708.3</v>
      </c>
    </row>
    <row r="10" spans="1:15" ht="16.5" thickBot="1">
      <c r="A10" s="60" t="s">
        <v>180</v>
      </c>
      <c r="B10" s="70">
        <f>'AGOSTO 2025'!I40</f>
        <v>10574.800000000001</v>
      </c>
      <c r="C10" s="70">
        <f>'AGOSTO 2025'!J40</f>
        <v>9868.18</v>
      </c>
      <c r="D10" s="179">
        <f t="shared" si="2"/>
        <v>1.0716059090936729</v>
      </c>
      <c r="E10" s="180">
        <f t="shared" si="3"/>
        <v>706.6200000000008</v>
      </c>
      <c r="G10" s="201">
        <v>5794.8</v>
      </c>
      <c r="H10" s="201">
        <v>5629.3</v>
      </c>
      <c r="I10" s="202">
        <v>1.0294000000000001</v>
      </c>
      <c r="J10" s="203">
        <v>165.5</v>
      </c>
      <c r="K10" s="196"/>
      <c r="L10" s="242">
        <v>10574.8</v>
      </c>
      <c r="M10" s="242">
        <v>9868.18</v>
      </c>
      <c r="N10" s="243">
        <v>1.0716000000000001</v>
      </c>
      <c r="O10" s="244">
        <v>706.62</v>
      </c>
    </row>
    <row r="11" spans="1:15" ht="16.5" thickBot="1">
      <c r="A11" s="60" t="s">
        <v>181</v>
      </c>
      <c r="B11" s="70">
        <f>'SEPTIEMBRE 2025'!I25</f>
        <v>8754</v>
      </c>
      <c r="C11" s="70">
        <f>'SEPTIEMBRE 2025'!J25</f>
        <v>8475.6</v>
      </c>
      <c r="D11" s="179">
        <f t="shared" si="2"/>
        <v>1.0328472320543678</v>
      </c>
      <c r="E11" s="180">
        <f t="shared" si="3"/>
        <v>278.39999999999964</v>
      </c>
      <c r="G11" s="201">
        <v>2894</v>
      </c>
      <c r="H11" s="201">
        <v>2508</v>
      </c>
      <c r="I11" s="202">
        <v>1.1538999999999999</v>
      </c>
      <c r="J11" s="203">
        <v>386</v>
      </c>
      <c r="K11" s="196"/>
      <c r="L11" s="242">
        <v>8754</v>
      </c>
      <c r="M11" s="242">
        <v>8475.6</v>
      </c>
      <c r="N11" s="243">
        <v>1.0327999999999999</v>
      </c>
      <c r="O11" s="244">
        <v>278.39999999999998</v>
      </c>
    </row>
    <row r="12" spans="1:15" ht="16.5" thickBot="1">
      <c r="A12" s="60" t="s">
        <v>400</v>
      </c>
      <c r="B12" s="70">
        <f>'OCTUBRE 2025'!I53</f>
        <v>15858.95</v>
      </c>
      <c r="C12" s="70">
        <f>'OCTUBRE 2025'!J53</f>
        <v>15229.81</v>
      </c>
      <c r="D12" s="179">
        <f t="shared" si="2"/>
        <v>1.041309773398355</v>
      </c>
      <c r="E12" s="180">
        <f t="shared" si="3"/>
        <v>629.14000000000124</v>
      </c>
      <c r="G12" s="201">
        <v>8602.1</v>
      </c>
      <c r="H12" s="201">
        <v>8597.5499999999993</v>
      </c>
      <c r="I12" s="202">
        <v>1.0004999999999999</v>
      </c>
      <c r="J12" s="203">
        <v>4.55</v>
      </c>
      <c r="K12" s="196"/>
      <c r="L12" s="242">
        <v>16014.55</v>
      </c>
      <c r="M12" s="242">
        <v>15423.64</v>
      </c>
      <c r="N12" s="243">
        <v>1.0383</v>
      </c>
      <c r="O12" s="244">
        <v>590.91</v>
      </c>
    </row>
    <row r="13" spans="1:15" ht="16.5" thickBot="1">
      <c r="A13" s="60" t="s">
        <v>182</v>
      </c>
      <c r="B13" s="70">
        <f>'NOVIEMBRE 2025'!I15</f>
        <v>0</v>
      </c>
      <c r="C13" s="70">
        <f>'NOVIEMBRE 2025'!J15</f>
        <v>0</v>
      </c>
      <c r="D13" s="179" t="e">
        <f t="shared" si="2"/>
        <v>#DIV/0!</v>
      </c>
      <c r="E13" s="180">
        <f t="shared" si="3"/>
        <v>0</v>
      </c>
      <c r="G13" s="204"/>
      <c r="H13" s="204"/>
      <c r="I13" s="204" t="e">
        <v>#DIV/0!</v>
      </c>
      <c r="J13" s="203">
        <v>0</v>
      </c>
      <c r="K13" s="196"/>
      <c r="L13" s="242">
        <v>2956</v>
      </c>
      <c r="M13" s="242">
        <v>2620</v>
      </c>
      <c r="N13" s="243">
        <v>1.1282000000000001</v>
      </c>
      <c r="O13" s="244">
        <v>336</v>
      </c>
    </row>
    <row r="14" spans="1:15" ht="16.5" thickBot="1">
      <c r="A14" s="60" t="s">
        <v>183</v>
      </c>
      <c r="B14" s="70">
        <f>'DICIEMBRE 2025'!I17</f>
        <v>0</v>
      </c>
      <c r="C14" s="70">
        <f>'DICIEMBRE 2025'!J17</f>
        <v>0</v>
      </c>
      <c r="D14" s="179" t="e">
        <f t="shared" si="2"/>
        <v>#DIV/0!</v>
      </c>
      <c r="E14" s="180">
        <f t="shared" si="3"/>
        <v>0</v>
      </c>
      <c r="G14" s="204"/>
      <c r="H14" s="204"/>
      <c r="I14" s="204" t="e">
        <v>#DIV/0!</v>
      </c>
      <c r="J14" s="203">
        <v>0</v>
      </c>
      <c r="K14" s="196"/>
      <c r="L14" s="242">
        <v>1688.8</v>
      </c>
      <c r="M14" s="242">
        <v>1477.2</v>
      </c>
      <c r="N14" s="243">
        <v>1.1432</v>
      </c>
      <c r="O14" s="244">
        <v>211.6</v>
      </c>
    </row>
    <row r="15" spans="1:15" s="68" customFormat="1" ht="16.5" thickBot="1">
      <c r="A15" s="69" t="s">
        <v>185</v>
      </c>
      <c r="B15" s="71">
        <f>SUM(B3:B14)</f>
        <v>55265.45</v>
      </c>
      <c r="C15" s="71">
        <f>SUM(C3:C14)</f>
        <v>51640.469999999994</v>
      </c>
      <c r="D15" s="181">
        <f t="shared" si="2"/>
        <v>1.0701964951132319</v>
      </c>
      <c r="E15" s="182">
        <f>SUM(E3:E14)</f>
        <v>3624.9800000000027</v>
      </c>
      <c r="G15" s="205">
        <v>37368.6</v>
      </c>
      <c r="H15" s="205">
        <v>34849.29</v>
      </c>
      <c r="I15" s="206">
        <v>1.0723</v>
      </c>
      <c r="J15" s="207">
        <v>2519.31</v>
      </c>
      <c r="K15" s="196"/>
      <c r="L15" s="245">
        <v>60065.85</v>
      </c>
      <c r="M15" s="245">
        <v>55931.5</v>
      </c>
      <c r="N15" s="246">
        <v>1.0739000000000001</v>
      </c>
      <c r="O15" s="247">
        <v>4134.3500000000004</v>
      </c>
    </row>
    <row r="16" spans="1:15">
      <c r="K16" s="229"/>
    </row>
    <row r="17" spans="1:14">
      <c r="A17" s="54" t="s">
        <v>352</v>
      </c>
      <c r="B17" s="184"/>
      <c r="E17" s="183"/>
      <c r="G17" s="54" t="s">
        <v>352</v>
      </c>
      <c r="H17" s="184">
        <v>45861</v>
      </c>
      <c r="I17" s="54" t="s">
        <v>355</v>
      </c>
      <c r="J17" s="176"/>
      <c r="L17" s="184">
        <v>45936</v>
      </c>
      <c r="M17" s="54" t="s">
        <v>355</v>
      </c>
      <c r="N17" s="176"/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443B8-2594-499C-9E44-2196A133AC7F}">
  <dimension ref="A2:F68"/>
  <sheetViews>
    <sheetView topLeftCell="A52" workbookViewId="0">
      <selection activeCell="H69" sqref="H69"/>
    </sheetView>
  </sheetViews>
  <sheetFormatPr baseColWidth="10" defaultColWidth="11.5" defaultRowHeight="15.75"/>
  <cols>
    <col min="1" max="1" width="11.5" style="20"/>
    <col min="2" max="2" width="19" style="20" bestFit="1" customWidth="1"/>
    <col min="3" max="3" width="63.875" style="20" bestFit="1" customWidth="1"/>
    <col min="4" max="4" width="26.625" style="20" bestFit="1" customWidth="1"/>
    <col min="5" max="5" width="13.125" style="20" customWidth="1"/>
    <col min="6" max="16384" width="11.5" style="20"/>
  </cols>
  <sheetData>
    <row r="2" spans="1:6">
      <c r="B2" s="41" t="s">
        <v>109</v>
      </c>
      <c r="C2" s="41" t="s">
        <v>110</v>
      </c>
      <c r="D2" s="41" t="s">
        <v>0</v>
      </c>
      <c r="E2" s="41" t="s">
        <v>119</v>
      </c>
      <c r="F2" s="41" t="s">
        <v>120</v>
      </c>
    </row>
    <row r="3" spans="1:6">
      <c r="A3" s="20">
        <v>1</v>
      </c>
      <c r="B3" s="28">
        <v>78950916</v>
      </c>
      <c r="C3" s="32" t="s">
        <v>29</v>
      </c>
      <c r="D3" s="32" t="s">
        <v>13</v>
      </c>
      <c r="E3" s="188" t="s">
        <v>387</v>
      </c>
      <c r="F3" s="188" t="s">
        <v>386</v>
      </c>
    </row>
    <row r="4" spans="1:6">
      <c r="A4" s="20">
        <f>A3+1</f>
        <v>2</v>
      </c>
      <c r="B4" s="28">
        <v>78951180</v>
      </c>
      <c r="C4" s="32" t="s">
        <v>29</v>
      </c>
      <c r="D4" s="32" t="s">
        <v>8</v>
      </c>
      <c r="E4" s="188" t="s">
        <v>390</v>
      </c>
      <c r="F4" s="188" t="s">
        <v>388</v>
      </c>
    </row>
    <row r="5" spans="1:6">
      <c r="A5" s="20">
        <f t="shared" ref="A5:A51" si="0">A4+1</f>
        <v>3</v>
      </c>
      <c r="B5" s="208">
        <v>78951454</v>
      </c>
      <c r="C5" s="208" t="s">
        <v>29</v>
      </c>
      <c r="D5" s="32" t="s">
        <v>54</v>
      </c>
      <c r="E5" s="188" t="s">
        <v>391</v>
      </c>
      <c r="F5" s="188" t="s">
        <v>389</v>
      </c>
    </row>
    <row r="6" spans="1:6">
      <c r="A6" s="20">
        <f t="shared" si="0"/>
        <v>4</v>
      </c>
      <c r="B6" s="208">
        <v>78951485</v>
      </c>
      <c r="C6" s="208" t="s">
        <v>29</v>
      </c>
      <c r="D6" s="32" t="s">
        <v>54</v>
      </c>
      <c r="E6" s="188" t="s">
        <v>391</v>
      </c>
      <c r="F6" s="188" t="s">
        <v>389</v>
      </c>
    </row>
    <row r="7" spans="1:6">
      <c r="A7" s="20">
        <f t="shared" si="0"/>
        <v>5</v>
      </c>
      <c r="B7" s="28">
        <v>78951109</v>
      </c>
      <c r="C7" s="32" t="s">
        <v>29</v>
      </c>
      <c r="D7" s="32" t="s">
        <v>21</v>
      </c>
      <c r="E7" s="188" t="s">
        <v>392</v>
      </c>
      <c r="F7" s="188" t="s">
        <v>390</v>
      </c>
    </row>
    <row r="8" spans="1:6">
      <c r="A8" s="20">
        <f t="shared" si="0"/>
        <v>6</v>
      </c>
      <c r="B8" s="208">
        <v>78951488</v>
      </c>
      <c r="C8" s="29" t="s">
        <v>29</v>
      </c>
      <c r="D8" s="32" t="s">
        <v>15</v>
      </c>
      <c r="E8" s="188" t="s">
        <v>389</v>
      </c>
      <c r="F8" s="188" t="s">
        <v>417</v>
      </c>
    </row>
    <row r="9" spans="1:6">
      <c r="A9" s="20">
        <f t="shared" si="0"/>
        <v>7</v>
      </c>
      <c r="B9" s="208">
        <v>78951489</v>
      </c>
      <c r="C9" s="29" t="s">
        <v>29</v>
      </c>
      <c r="D9" s="32" t="s">
        <v>15</v>
      </c>
      <c r="E9" s="188" t="s">
        <v>389</v>
      </c>
      <c r="F9" s="188" t="s">
        <v>417</v>
      </c>
    </row>
    <row r="10" spans="1:6">
      <c r="A10" s="20">
        <f t="shared" si="0"/>
        <v>8</v>
      </c>
      <c r="B10" s="208">
        <v>78951490</v>
      </c>
      <c r="C10" s="29" t="s">
        <v>29</v>
      </c>
      <c r="D10" s="32" t="s">
        <v>15</v>
      </c>
      <c r="E10" s="188" t="s">
        <v>389</v>
      </c>
      <c r="F10" s="188" t="s">
        <v>417</v>
      </c>
    </row>
    <row r="11" spans="1:6">
      <c r="A11" s="20">
        <f t="shared" si="0"/>
        <v>9</v>
      </c>
      <c r="B11" s="29">
        <v>78951715</v>
      </c>
      <c r="C11" s="29" t="s">
        <v>29</v>
      </c>
      <c r="D11" s="32" t="s">
        <v>9</v>
      </c>
      <c r="E11" s="188" t="s">
        <v>418</v>
      </c>
      <c r="F11" s="188" t="s">
        <v>419</v>
      </c>
    </row>
    <row r="12" spans="1:6" hidden="1">
      <c r="A12" s="20">
        <f t="shared" si="0"/>
        <v>10</v>
      </c>
      <c r="B12" s="16">
        <v>78952055</v>
      </c>
      <c r="C12" s="33" t="s">
        <v>29</v>
      </c>
      <c r="D12" s="16" t="s">
        <v>97</v>
      </c>
      <c r="E12" s="188">
        <v>45751</v>
      </c>
      <c r="F12" s="188">
        <v>45755</v>
      </c>
    </row>
    <row r="13" spans="1:6">
      <c r="A13" s="20">
        <f t="shared" si="0"/>
        <v>11</v>
      </c>
      <c r="B13" s="16">
        <v>78951086</v>
      </c>
      <c r="C13" s="28" t="s">
        <v>29</v>
      </c>
      <c r="D13" s="28" t="s">
        <v>6</v>
      </c>
      <c r="E13" s="44">
        <v>45752</v>
      </c>
      <c r="F13" s="44">
        <v>45753</v>
      </c>
    </row>
    <row r="14" spans="1:6">
      <c r="A14" s="20">
        <f t="shared" si="0"/>
        <v>12</v>
      </c>
      <c r="B14" s="16">
        <v>78951839</v>
      </c>
      <c r="C14" s="28" t="s">
        <v>29</v>
      </c>
      <c r="D14" s="28" t="s">
        <v>83</v>
      </c>
      <c r="E14" s="44">
        <v>45761</v>
      </c>
      <c r="F14" s="44">
        <v>45766</v>
      </c>
    </row>
    <row r="15" spans="1:6">
      <c r="A15" s="20">
        <f t="shared" si="0"/>
        <v>13</v>
      </c>
      <c r="B15" s="28">
        <v>78951756</v>
      </c>
      <c r="C15" s="28" t="s">
        <v>29</v>
      </c>
      <c r="D15" s="28" t="s">
        <v>17</v>
      </c>
      <c r="E15" s="44">
        <v>45770</v>
      </c>
      <c r="F15" s="44">
        <v>45771</v>
      </c>
    </row>
    <row r="16" spans="1:6">
      <c r="A16" s="20">
        <f t="shared" si="0"/>
        <v>14</v>
      </c>
      <c r="B16" s="28">
        <v>78951761</v>
      </c>
      <c r="C16" s="28" t="s">
        <v>29</v>
      </c>
      <c r="D16" s="28" t="s">
        <v>17</v>
      </c>
      <c r="E16" s="44">
        <v>45770</v>
      </c>
      <c r="F16" s="44">
        <v>45771</v>
      </c>
    </row>
    <row r="17" spans="1:6">
      <c r="A17" s="20">
        <f t="shared" si="0"/>
        <v>15</v>
      </c>
      <c r="B17" s="28">
        <v>78952301</v>
      </c>
      <c r="C17" s="28" t="s">
        <v>87</v>
      </c>
      <c r="D17" s="28" t="s">
        <v>111</v>
      </c>
      <c r="E17" s="44">
        <v>45780</v>
      </c>
      <c r="F17" s="44">
        <v>45781</v>
      </c>
    </row>
    <row r="18" spans="1:6">
      <c r="A18" s="20">
        <f t="shared" si="0"/>
        <v>16</v>
      </c>
      <c r="B18" s="28">
        <v>78951634</v>
      </c>
      <c r="C18" s="28" t="s">
        <v>29</v>
      </c>
      <c r="D18" s="28" t="s">
        <v>31</v>
      </c>
      <c r="E18" s="44">
        <v>45824</v>
      </c>
      <c r="F18" s="44">
        <v>45825</v>
      </c>
    </row>
    <row r="19" spans="1:6">
      <c r="A19" s="20">
        <f t="shared" si="0"/>
        <v>17</v>
      </c>
      <c r="B19" s="28">
        <v>78953847</v>
      </c>
      <c r="C19" s="107" t="s">
        <v>234</v>
      </c>
      <c r="D19" s="29" t="s">
        <v>221</v>
      </c>
      <c r="E19" s="30">
        <v>45842</v>
      </c>
      <c r="F19" s="30">
        <v>45848</v>
      </c>
    </row>
    <row r="20" spans="1:6">
      <c r="A20" s="20">
        <f t="shared" si="0"/>
        <v>18</v>
      </c>
      <c r="B20" s="28">
        <v>78953762</v>
      </c>
      <c r="C20" s="107" t="s">
        <v>206</v>
      </c>
      <c r="D20" s="28" t="s">
        <v>187</v>
      </c>
      <c r="E20" s="44">
        <v>45846</v>
      </c>
      <c r="F20" s="44">
        <v>45853</v>
      </c>
    </row>
    <row r="21" spans="1:6">
      <c r="A21" s="20">
        <f t="shared" si="0"/>
        <v>19</v>
      </c>
      <c r="B21" s="28">
        <v>78953757</v>
      </c>
      <c r="C21" s="107" t="s">
        <v>205</v>
      </c>
      <c r="D21" s="28" t="s">
        <v>187</v>
      </c>
      <c r="E21" s="44">
        <v>45846</v>
      </c>
      <c r="F21" s="44">
        <v>45853</v>
      </c>
    </row>
    <row r="22" spans="1:6">
      <c r="A22" s="20">
        <f t="shared" si="0"/>
        <v>20</v>
      </c>
      <c r="B22" s="28">
        <v>78953768</v>
      </c>
      <c r="C22" s="107" t="s">
        <v>207</v>
      </c>
      <c r="D22" s="28" t="s">
        <v>208</v>
      </c>
      <c r="E22" s="44">
        <v>45850</v>
      </c>
      <c r="F22" s="44">
        <v>45857</v>
      </c>
    </row>
    <row r="23" spans="1:6">
      <c r="A23" s="20">
        <f t="shared" si="0"/>
        <v>21</v>
      </c>
      <c r="B23" s="28">
        <v>78953860</v>
      </c>
      <c r="C23" s="107" t="s">
        <v>244</v>
      </c>
      <c r="D23" s="28" t="s">
        <v>166</v>
      </c>
      <c r="E23" s="44">
        <v>45854</v>
      </c>
      <c r="F23" s="44">
        <v>45862</v>
      </c>
    </row>
    <row r="24" spans="1:6">
      <c r="A24" s="20">
        <f t="shared" si="0"/>
        <v>22</v>
      </c>
      <c r="B24" s="28">
        <v>78953857</v>
      </c>
      <c r="C24" s="107" t="s">
        <v>239</v>
      </c>
      <c r="D24" s="28" t="s">
        <v>216</v>
      </c>
      <c r="E24" s="44">
        <v>45856</v>
      </c>
      <c r="F24" s="44">
        <v>45863</v>
      </c>
    </row>
    <row r="25" spans="1:6">
      <c r="A25" s="20">
        <f t="shared" si="0"/>
        <v>23</v>
      </c>
      <c r="B25" s="28">
        <v>78954157</v>
      </c>
      <c r="C25" s="107" t="s">
        <v>305</v>
      </c>
      <c r="D25" s="28" t="s">
        <v>304</v>
      </c>
      <c r="E25" s="44">
        <v>45859</v>
      </c>
      <c r="F25" s="44">
        <v>45867</v>
      </c>
    </row>
    <row r="26" spans="1:6">
      <c r="A26" s="20">
        <f t="shared" si="0"/>
        <v>24</v>
      </c>
      <c r="B26" s="28">
        <v>78953817</v>
      </c>
      <c r="C26" s="28" t="s">
        <v>228</v>
      </c>
      <c r="D26" s="28" t="s">
        <v>223</v>
      </c>
      <c r="E26" s="44">
        <v>45862</v>
      </c>
      <c r="F26" s="44">
        <v>45896</v>
      </c>
    </row>
    <row r="27" spans="1:6">
      <c r="A27" s="20">
        <f t="shared" si="0"/>
        <v>25</v>
      </c>
      <c r="B27" s="28">
        <v>78953818</v>
      </c>
      <c r="C27" s="28" t="s">
        <v>229</v>
      </c>
      <c r="D27" s="28" t="s">
        <v>223</v>
      </c>
      <c r="E27" s="44">
        <v>45862</v>
      </c>
      <c r="F27" s="44">
        <v>45896</v>
      </c>
    </row>
    <row r="28" spans="1:6">
      <c r="A28" s="20">
        <f t="shared" si="0"/>
        <v>26</v>
      </c>
      <c r="B28" s="28">
        <v>78953819</v>
      </c>
      <c r="C28" s="28" t="s">
        <v>231</v>
      </c>
      <c r="D28" s="28" t="s">
        <v>223</v>
      </c>
      <c r="E28" s="44">
        <v>45862</v>
      </c>
      <c r="F28" s="44">
        <v>45896</v>
      </c>
    </row>
    <row r="29" spans="1:6">
      <c r="A29" s="20">
        <f t="shared" si="0"/>
        <v>27</v>
      </c>
      <c r="B29" s="28">
        <v>78954135</v>
      </c>
      <c r="C29" s="209" t="s">
        <v>299</v>
      </c>
      <c r="D29" s="28" t="s">
        <v>298</v>
      </c>
      <c r="E29" s="44">
        <v>45869</v>
      </c>
      <c r="F29" s="44">
        <v>45877</v>
      </c>
    </row>
    <row r="30" spans="1:6">
      <c r="A30" s="20">
        <f t="shared" si="0"/>
        <v>28</v>
      </c>
      <c r="B30" s="28">
        <v>78954065</v>
      </c>
      <c r="C30" s="28" t="s">
        <v>291</v>
      </c>
      <c r="D30" s="29" t="s">
        <v>290</v>
      </c>
      <c r="E30" s="30">
        <v>45873</v>
      </c>
      <c r="F30" s="30">
        <v>46240</v>
      </c>
    </row>
    <row r="31" spans="1:6">
      <c r="A31" s="20">
        <f t="shared" si="0"/>
        <v>29</v>
      </c>
      <c r="B31" s="28">
        <v>78953802</v>
      </c>
      <c r="C31" s="28" t="s">
        <v>217</v>
      </c>
      <c r="D31" s="28" t="s">
        <v>195</v>
      </c>
      <c r="E31" s="44">
        <v>45874</v>
      </c>
      <c r="F31" s="44">
        <v>45877</v>
      </c>
    </row>
    <row r="32" spans="1:6">
      <c r="A32" s="20">
        <f t="shared" si="0"/>
        <v>30</v>
      </c>
      <c r="B32" s="28">
        <v>78953803</v>
      </c>
      <c r="C32" s="28" t="s">
        <v>219</v>
      </c>
      <c r="D32" s="28" t="s">
        <v>195</v>
      </c>
      <c r="E32" s="44">
        <v>45874</v>
      </c>
      <c r="F32" s="44">
        <v>45877</v>
      </c>
    </row>
    <row r="33" spans="1:6">
      <c r="A33" s="20">
        <f t="shared" si="0"/>
        <v>31</v>
      </c>
      <c r="B33" s="28">
        <v>78954561</v>
      </c>
      <c r="C33" s="32" t="s">
        <v>341</v>
      </c>
      <c r="D33" s="28" t="s">
        <v>99</v>
      </c>
      <c r="E33" s="44">
        <v>45874</v>
      </c>
      <c r="F33" s="44">
        <v>45877</v>
      </c>
    </row>
    <row r="34" spans="1:6">
      <c r="A34" s="20">
        <f t="shared" si="0"/>
        <v>32</v>
      </c>
      <c r="B34" s="28">
        <v>78953863</v>
      </c>
      <c r="C34" s="28" t="s">
        <v>245</v>
      </c>
      <c r="D34" s="28" t="s">
        <v>221</v>
      </c>
      <c r="E34" s="44">
        <v>45876</v>
      </c>
      <c r="F34" s="44">
        <v>45887</v>
      </c>
    </row>
    <row r="35" spans="1:6">
      <c r="A35" s="20">
        <f t="shared" si="0"/>
        <v>33</v>
      </c>
      <c r="B35" s="28">
        <v>78953813</v>
      </c>
      <c r="C35" s="28" t="s">
        <v>220</v>
      </c>
      <c r="D35" s="28" t="s">
        <v>221</v>
      </c>
      <c r="E35" s="44">
        <v>45883</v>
      </c>
      <c r="F35" s="44">
        <v>45886</v>
      </c>
    </row>
    <row r="36" spans="1:6">
      <c r="A36" s="20">
        <f>A35+1</f>
        <v>34</v>
      </c>
      <c r="B36" s="28">
        <v>78953888</v>
      </c>
      <c r="C36" s="16" t="s">
        <v>255</v>
      </c>
      <c r="D36" s="16" t="s">
        <v>216</v>
      </c>
      <c r="E36" s="44">
        <v>45889</v>
      </c>
      <c r="F36" s="44">
        <v>45896</v>
      </c>
    </row>
    <row r="37" spans="1:6">
      <c r="A37" s="20">
        <f t="shared" si="0"/>
        <v>35</v>
      </c>
      <c r="B37" s="28">
        <v>78954099</v>
      </c>
      <c r="C37" s="16" t="s">
        <v>297</v>
      </c>
      <c r="D37" s="16" t="s">
        <v>201</v>
      </c>
      <c r="E37" s="44">
        <v>45890</v>
      </c>
      <c r="F37" s="44">
        <v>45893</v>
      </c>
    </row>
    <row r="38" spans="1:6">
      <c r="A38" s="20">
        <f t="shared" si="0"/>
        <v>36</v>
      </c>
      <c r="B38" s="28">
        <v>78953814</v>
      </c>
      <c r="C38" s="107" t="s">
        <v>224</v>
      </c>
      <c r="D38" s="28" t="s">
        <v>221</v>
      </c>
      <c r="E38" s="44">
        <v>45899</v>
      </c>
      <c r="F38" s="44">
        <v>45903</v>
      </c>
    </row>
    <row r="39" spans="1:6">
      <c r="A39" s="20">
        <f t="shared" si="0"/>
        <v>37</v>
      </c>
      <c r="B39" s="28">
        <v>78955040</v>
      </c>
      <c r="C39" s="28" t="s">
        <v>376</v>
      </c>
      <c r="D39" s="28" t="s">
        <v>211</v>
      </c>
      <c r="E39" s="30">
        <v>45911</v>
      </c>
      <c r="F39" s="30">
        <v>45919</v>
      </c>
    </row>
    <row r="40" spans="1:6">
      <c r="A40" s="20">
        <f t="shared" si="0"/>
        <v>38</v>
      </c>
      <c r="B40" s="28">
        <v>78950731</v>
      </c>
      <c r="C40" s="32" t="s">
        <v>335</v>
      </c>
      <c r="D40" s="28" t="s">
        <v>212</v>
      </c>
      <c r="E40" s="44">
        <v>45915</v>
      </c>
      <c r="F40" s="49">
        <v>45917</v>
      </c>
    </row>
    <row r="41" spans="1:6">
      <c r="A41" s="20">
        <f t="shared" si="0"/>
        <v>39</v>
      </c>
      <c r="B41" s="28">
        <v>78952752</v>
      </c>
      <c r="C41" s="28" t="s">
        <v>326</v>
      </c>
      <c r="D41" s="28" t="s">
        <v>99</v>
      </c>
      <c r="E41" s="44">
        <v>45920</v>
      </c>
      <c r="F41" s="44">
        <v>45921</v>
      </c>
    </row>
    <row r="42" spans="1:6">
      <c r="A42" s="20">
        <f t="shared" si="0"/>
        <v>40</v>
      </c>
      <c r="B42" s="28">
        <v>78953852</v>
      </c>
      <c r="C42" s="28" t="s">
        <v>236</v>
      </c>
      <c r="D42" s="28" t="s">
        <v>221</v>
      </c>
      <c r="E42" s="44">
        <v>45931</v>
      </c>
      <c r="F42" s="44">
        <v>45935</v>
      </c>
    </row>
    <row r="43" spans="1:6">
      <c r="A43" s="20">
        <f t="shared" si="0"/>
        <v>41</v>
      </c>
      <c r="B43" s="28">
        <v>78954006</v>
      </c>
      <c r="C43" s="28" t="s">
        <v>285</v>
      </c>
      <c r="D43" s="28" t="s">
        <v>216</v>
      </c>
      <c r="E43" s="44">
        <v>45934</v>
      </c>
      <c r="F43" s="44">
        <v>45940</v>
      </c>
    </row>
    <row r="44" spans="1:6">
      <c r="A44" s="20">
        <f t="shared" si="0"/>
        <v>42</v>
      </c>
      <c r="B44" s="28">
        <v>78954007</v>
      </c>
      <c r="C44" s="28" t="s">
        <v>286</v>
      </c>
      <c r="D44" s="28" t="s">
        <v>216</v>
      </c>
      <c r="E44" s="44">
        <v>45934</v>
      </c>
      <c r="F44" s="44">
        <v>45940</v>
      </c>
    </row>
    <row r="45" spans="1:6">
      <c r="A45" s="20">
        <f t="shared" si="0"/>
        <v>43</v>
      </c>
      <c r="B45" s="28">
        <v>78954008</v>
      </c>
      <c r="C45" s="28" t="s">
        <v>288</v>
      </c>
      <c r="D45" s="28" t="s">
        <v>216</v>
      </c>
      <c r="E45" s="44">
        <v>45934</v>
      </c>
      <c r="F45" s="44">
        <v>45940</v>
      </c>
    </row>
    <row r="46" spans="1:6">
      <c r="A46" s="20">
        <f t="shared" si="0"/>
        <v>44</v>
      </c>
      <c r="B46" s="28">
        <v>78954096</v>
      </c>
      <c r="C46" s="28" t="s">
        <v>292</v>
      </c>
      <c r="D46" s="28" t="s">
        <v>216</v>
      </c>
      <c r="E46" s="44">
        <v>45934</v>
      </c>
      <c r="F46" s="44">
        <v>45940</v>
      </c>
    </row>
    <row r="47" spans="1:6">
      <c r="A47" s="20">
        <f t="shared" si="0"/>
        <v>45</v>
      </c>
      <c r="B47" s="28">
        <v>78954097</v>
      </c>
      <c r="C47" s="28" t="s">
        <v>294</v>
      </c>
      <c r="D47" s="28" t="s">
        <v>293</v>
      </c>
      <c r="E47" s="44">
        <v>45940</v>
      </c>
      <c r="F47" s="44">
        <v>45941</v>
      </c>
    </row>
    <row r="48" spans="1:6">
      <c r="A48" s="20">
        <f t="shared" si="0"/>
        <v>46</v>
      </c>
      <c r="B48" s="28">
        <v>78954098</v>
      </c>
      <c r="C48" s="28" t="s">
        <v>296</v>
      </c>
      <c r="D48" s="28" t="s">
        <v>293</v>
      </c>
      <c r="E48" s="44">
        <v>45940</v>
      </c>
      <c r="F48" s="44">
        <v>45941</v>
      </c>
    </row>
    <row r="49" spans="1:6">
      <c r="A49" s="20">
        <f t="shared" si="0"/>
        <v>47</v>
      </c>
      <c r="B49" s="28">
        <v>78953947</v>
      </c>
      <c r="C49" s="28" t="s">
        <v>260</v>
      </c>
      <c r="D49" s="28" t="s">
        <v>216</v>
      </c>
      <c r="E49" s="44">
        <v>45945</v>
      </c>
      <c r="F49" s="44">
        <v>45948</v>
      </c>
    </row>
    <row r="50" spans="1:6">
      <c r="A50" s="20">
        <f t="shared" si="0"/>
        <v>48</v>
      </c>
      <c r="B50" s="28">
        <v>78954237</v>
      </c>
      <c r="C50" s="28" t="s">
        <v>322</v>
      </c>
      <c r="D50" s="28" t="s">
        <v>323</v>
      </c>
      <c r="E50" s="44">
        <v>45949</v>
      </c>
      <c r="F50" s="44">
        <v>45952</v>
      </c>
    </row>
    <row r="51" spans="1:6">
      <c r="A51" s="20">
        <f t="shared" si="0"/>
        <v>49</v>
      </c>
      <c r="B51" s="28">
        <v>78954287</v>
      </c>
      <c r="C51" s="28" t="s">
        <v>322</v>
      </c>
      <c r="D51" s="28" t="s">
        <v>323</v>
      </c>
      <c r="E51" s="44">
        <v>45956</v>
      </c>
      <c r="F51" s="44">
        <v>45959</v>
      </c>
    </row>
    <row r="54" spans="1:6">
      <c r="B54" s="20" t="s">
        <v>401</v>
      </c>
      <c r="C54" s="20" t="s">
        <v>402</v>
      </c>
      <c r="D54" s="20" t="s">
        <v>403</v>
      </c>
      <c r="E54" s="20" t="s">
        <v>404</v>
      </c>
    </row>
    <row r="55" spans="1:6">
      <c r="B55" s="20" t="s">
        <v>405</v>
      </c>
      <c r="C55" s="47">
        <v>2</v>
      </c>
      <c r="D55" s="47">
        <v>1</v>
      </c>
      <c r="E55" s="47">
        <v>1</v>
      </c>
      <c r="F55" s="47">
        <f>D55+E55</f>
        <v>2</v>
      </c>
    </row>
    <row r="56" spans="1:6">
      <c r="B56" s="20" t="s">
        <v>406</v>
      </c>
      <c r="C56" s="47">
        <v>11</v>
      </c>
      <c r="D56" s="47">
        <v>7</v>
      </c>
      <c r="E56" s="47">
        <v>4</v>
      </c>
      <c r="F56" s="47">
        <f t="shared" ref="F56:F64" si="1">D56+E56</f>
        <v>11</v>
      </c>
    </row>
    <row r="57" spans="1:6">
      <c r="B57" s="20" t="s">
        <v>407</v>
      </c>
      <c r="C57" s="47">
        <v>13</v>
      </c>
      <c r="D57" s="47">
        <v>9</v>
      </c>
      <c r="E57" s="47">
        <v>4</v>
      </c>
      <c r="F57" s="47">
        <f t="shared" si="1"/>
        <v>13</v>
      </c>
    </row>
    <row r="58" spans="1:6">
      <c r="B58" s="20" t="s">
        <v>408</v>
      </c>
      <c r="C58" s="47">
        <v>15</v>
      </c>
      <c r="D58" s="47">
        <v>10</v>
      </c>
      <c r="E58" s="47">
        <v>5</v>
      </c>
      <c r="F58" s="47">
        <f t="shared" si="1"/>
        <v>15</v>
      </c>
    </row>
    <row r="59" spans="1:6">
      <c r="B59" s="20" t="s">
        <v>409</v>
      </c>
      <c r="C59" s="47">
        <v>7</v>
      </c>
      <c r="D59" s="47">
        <v>6</v>
      </c>
      <c r="E59" s="47">
        <v>1</v>
      </c>
      <c r="F59" s="47">
        <f t="shared" si="1"/>
        <v>7</v>
      </c>
    </row>
    <row r="60" spans="1:6">
      <c r="B60" s="20" t="s">
        <v>410</v>
      </c>
      <c r="C60" s="47">
        <v>12</v>
      </c>
      <c r="D60" s="47">
        <v>11</v>
      </c>
      <c r="E60" s="47">
        <v>1</v>
      </c>
      <c r="F60" s="47">
        <f t="shared" si="1"/>
        <v>12</v>
      </c>
    </row>
    <row r="61" spans="1:6">
      <c r="B61" s="20" t="s">
        <v>411</v>
      </c>
      <c r="C61" s="47">
        <v>29</v>
      </c>
      <c r="D61" s="47">
        <v>18</v>
      </c>
      <c r="E61" s="47">
        <v>11</v>
      </c>
      <c r="F61" s="47">
        <f t="shared" si="1"/>
        <v>29</v>
      </c>
    </row>
    <row r="62" spans="1:6">
      <c r="B62" s="20" t="s">
        <v>412</v>
      </c>
      <c r="C62" s="47">
        <v>31</v>
      </c>
      <c r="D62" s="47">
        <v>22</v>
      </c>
      <c r="E62" s="47">
        <v>9</v>
      </c>
      <c r="F62" s="47">
        <f t="shared" si="1"/>
        <v>31</v>
      </c>
    </row>
    <row r="63" spans="1:6">
      <c r="B63" s="20" t="s">
        <v>413</v>
      </c>
      <c r="C63" s="47">
        <v>9</v>
      </c>
      <c r="D63" s="47">
        <v>6</v>
      </c>
      <c r="E63" s="47">
        <v>3</v>
      </c>
      <c r="F63" s="47">
        <f t="shared" si="1"/>
        <v>9</v>
      </c>
    </row>
    <row r="64" spans="1:6">
      <c r="B64" s="20" t="s">
        <v>414</v>
      </c>
      <c r="C64" s="47">
        <v>13</v>
      </c>
      <c r="D64" s="47">
        <v>3</v>
      </c>
      <c r="E64" s="47">
        <v>10</v>
      </c>
      <c r="F64" s="47">
        <f t="shared" si="1"/>
        <v>13</v>
      </c>
    </row>
    <row r="65" spans="2:6">
      <c r="B65" s="20" t="s">
        <v>415</v>
      </c>
      <c r="C65" s="47"/>
      <c r="D65" s="47"/>
      <c r="E65" s="47"/>
      <c r="F65" s="47"/>
    </row>
    <row r="66" spans="2:6">
      <c r="B66" s="20" t="s">
        <v>416</v>
      </c>
      <c r="C66" s="47"/>
      <c r="D66" s="47"/>
      <c r="E66" s="47"/>
      <c r="F66" s="47"/>
    </row>
    <row r="67" spans="2:6">
      <c r="C67" s="47">
        <f>SUM(C55:C66)</f>
        <v>142</v>
      </c>
      <c r="D67" s="20">
        <f>SUM(D55:D66)</f>
        <v>93</v>
      </c>
      <c r="E67" s="20">
        <f>SUM(E55:E66)</f>
        <v>49</v>
      </c>
      <c r="F67" s="20">
        <f>D67+E67</f>
        <v>142</v>
      </c>
    </row>
    <row r="68" spans="2:6">
      <c r="E68" s="210">
        <f>E67/C67</f>
        <v>0.34507042253521125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Enero 2025</vt:lpstr>
      <vt:lpstr>Febrero 2025</vt:lpstr>
      <vt:lpstr>MARZO 2025</vt:lpstr>
      <vt:lpstr>ABRIL 2025</vt:lpstr>
      <vt:lpstr>MAYO 2025</vt:lpstr>
      <vt:lpstr>JUNIO 2025</vt:lpstr>
      <vt:lpstr>JULIO 2025</vt:lpstr>
      <vt:lpstr>AGOSTO 2025</vt:lpstr>
      <vt:lpstr>SEPTIEMBRE 2025</vt:lpstr>
      <vt:lpstr>OCTUBRE 2025</vt:lpstr>
      <vt:lpstr>NOVIEMBRE 2025</vt:lpstr>
      <vt:lpstr>DICIEMBRE 2025</vt:lpstr>
      <vt:lpstr>Consolidado</vt:lpstr>
      <vt:lpstr>Cancelaciones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Santana</dc:creator>
  <cp:lastModifiedBy>Jorge Llerena</cp:lastModifiedBy>
  <dcterms:created xsi:type="dcterms:W3CDTF">2024-05-13T18:07:14Z</dcterms:created>
  <dcterms:modified xsi:type="dcterms:W3CDTF">2025-11-10T15:55:49Z</dcterms:modified>
</cp:coreProperties>
</file>